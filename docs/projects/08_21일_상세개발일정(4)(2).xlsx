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c8a0ebd34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처음읽기" sheetId="1" r:id="R9e618078e6854fea"/>
    <x:sheet xmlns:r="http://schemas.openxmlformats.org/officeDocument/2006/relationships" name="진행현황" sheetId="2" r:id="Re15f09e183854736"/>
    <x:sheet xmlns:r="http://schemas.openxmlformats.org/officeDocument/2006/relationships" name="일일업무" sheetId="3" r:id="R2b5bf9e64f9f4eca"/>
    <x:sheet xmlns:r="http://schemas.openxmlformats.org/officeDocument/2006/relationships" name="세부작업체크" sheetId="4" r:id="Rac5e8b3599c04842"/>
    <x:sheet xmlns:r="http://schemas.openxmlformats.org/officeDocument/2006/relationships" name="통합확인일" sheetId="5" r:id="Rf6ca7879afb54ffe"/>
    <x:sheet xmlns:r="http://schemas.openxmlformats.org/officeDocument/2006/relationships" name="API연동실행표" sheetId="6" r:id="R8f9b7a529f314e7a"/>
    <x:sheet xmlns:r="http://schemas.openxmlformats.org/officeDocument/2006/relationships" name="Figma인계표" sheetId="7" r:id="R61c94d28014648ec"/>
    <x:sheet xmlns:r="http://schemas.openxmlformats.org/officeDocument/2006/relationships" name="AI실험계획" sheetId="8" r:id="Reb34b5b6a1bc4d3d"/>
    <x:sheet xmlns:r="http://schemas.openxmlformats.org/officeDocument/2006/relationships" name="완료증거기록" sheetId="9" r:id="Ra5f13dadf36e43fa"/>
    <x:sheet xmlns:r="http://schemas.openxmlformats.org/officeDocument/2006/relationships" name="문서목록" sheetId="10" r:id="R0f82e01f86504f84"/>
    <x:sheet xmlns:r="http://schemas.openxmlformats.org/officeDocument/2006/relationships" name="용어설명" sheetId="11" r:id="R7eb4c0f1b5fd4acf"/>
    <x:sheet xmlns:r="http://schemas.openxmlformats.org/officeDocument/2006/relationships" name="도구사용계획" sheetId="12" r:id="R10bdd114cf48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sz val="11"/>
      <x:color rgb="FF1F293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23B63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F4F8FB"/>
      </x:patternFill>
    </x:fill>
    <x:fill>
      <x:patternFill patternType="solid">
        <x:fgColor rgb="FFD9EE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  <x:bottom style="thin">
        <x:color rgb="FFD9E2F3"/>
      </x:bottom>
    </x:border>
    <x:border>
      <x:bottom style="thin">
        <x:color rgb="FFD9E2F3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6E2EA"/>
      </x:left>
      <x:right style="thin">
        <x:color rgb="FFD6E2EA"/>
      </x:right>
      <x:top style="thin">
        <x:color rgb="FFD6E2EA"/>
      </x:top>
      <x:bottom style="thin">
        <x:color rgb="FFD6E2EA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horizontal="left" wrapText="1"/>
    </x:xf>
    <x:xf numFmtId="0" fontId="3" fillId="0" borderId="3" xfId="0" applyNumberFormat="1" applyFont="1" applyFill="1" applyBorder="1" applyAlignment="1">
      <x:alignment horizontal="left" wrapText="1"/>
    </x:xf>
    <x:xf numFmtId="0" fontId="3" fillId="0" borderId="4" xfId="0" applyNumberFormat="1" applyFont="1" applyFill="1" applyBorder="1" applyAlignment="1">
      <x:alignment horizontal="left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0" fontId="3" fillId="0" borderId="3" xfId="0" applyNumberFormat="1" applyFont="1" applyFill="1" applyBorder="1" applyAlignment="1">
      <x:alignment horizontal="left" vertical="top" wrapText="1"/>
    </x:xf>
    <x:xf numFmtId="0" fontId="3" fillId="0" borderId="4" xfId="0" applyNumberFormat="1" applyFont="1" applyFill="1" applyBorder="1" applyAlignment="1">
      <x:alignment horizontal="left" vertical="top" wrapText="1"/>
    </x:xf>
    <x:xf numFmtId="0" fontId="3" fillId="5" borderId="2" xfId="0" applyNumberFormat="1" applyFont="1" applyFill="1" applyBorder="1" applyAlignment="1">
      <x:alignment horizontal="left" vertical="top" wrapText="1"/>
    </x:xf>
    <x:xf numFmtId="0" fontId="2" fillId="5" borderId="2" xfId="0" applyNumberFormat="1" applyFont="1" applyFill="1" applyBorder="1" applyAlignment="1">
      <x:alignment horizontal="left" vertical="top" wrapText="1"/>
    </x:xf>
    <x:xf numFmtId="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horizontal="left" wrapText="1"/>
    </x:xf>
    <x:xf numFmtId="0" fontId="3" fillId="0" borderId="5" xfId="0" applyNumberFormat="1" applyFont="1" applyFill="1" applyBorder="1" applyAlignment="1">
      <x:alignment horizontal="left" vertical="top" wrapText="1"/>
    </x:xf>
    <x:xf numFmtId="200" fontId="3" fillId="0" borderId="5" xfId="0" applyNumberFormat="1" applyFont="1" applyFill="1" applyBorder="1" applyAlignment="1">
      <x:alignment horizontal="left" vertical="top" wrapText="1"/>
    </x:xf>
    <x:xf numFmtId="200" fontId="3" fillId="0" borderId="2" xfId="0" applyNumberFormat="1" applyFont="1" applyFill="1" applyBorder="1" applyAlignment="1">
      <x:alignment horizontal="left" vertical="top" wrapText="1"/>
    </x:xf>
    <x:xf numFmtId="200" fontId="3" fillId="0" borderId="3" xfId="0" applyNumberFormat="1" applyFont="1" applyFill="1" applyBorder="1" applyAlignment="1">
      <x:alignment horizontal="left" vertical="top" wrapText="1"/>
    </x:xf>
    <x:xf numFmtId="200" fontId="3" fillId="0" borderId="4" xfId="0" applyNumberFormat="1" applyFont="1" applyFill="1" applyBorder="1" applyAlignment="1">
      <x:alignment horizontal="left" vertical="top" wrapText="1"/>
    </x:xf>
    <x:xf numFmtId="0" fontId="3" fillId="5" borderId="3" xfId="0" applyNumberFormat="1" applyFont="1" applyFill="1" applyBorder="1" applyAlignment="1">
      <x:alignment horizontal="left" vertical="top" wrapText="1"/>
    </x:xf>
    <x:xf numFmtId="200" fontId="3" fillId="5" borderId="3" xfId="0" applyNumberFormat="1" applyFont="1" applyFill="1" applyBorder="1" applyAlignment="1">
      <x:alignment horizontal="left" vertical="top" wrapText="1"/>
    </x:xf>
    <x:xf numFmtId="0" fontId="3" fillId="5" borderId="4" xfId="0" applyNumberFormat="1" applyFont="1" applyFill="1" applyBorder="1" applyAlignment="1">
      <x:alignment horizontal="left" vertical="top" wrapText="1"/>
    </x:xf>
    <x:xf numFmtId="200" fontId="3" fillId="5" borderId="4" xfId="0" applyNumberFormat="1" applyFont="1" applyFill="1" applyBorder="1" applyAlignment="1">
      <x:alignment horizontal="left" vertical="top" wrapText="1"/>
    </x:xf>
    <x:xf numFmtId="0" fontId="3" fillId="6" borderId="2" xfId="0" applyNumberFormat="1" applyFont="1" applyFill="1" applyBorder="1" applyAlignment="1">
      <x:alignment horizontal="left" vertical="top" wrapText="1"/>
    </x:xf>
    <x:xf numFmtId="0" fontId="3" fillId="6" borderId="3" xfId="0" applyNumberFormat="1" applyFont="1" applyFill="1" applyBorder="1" applyAlignment="1">
      <x:alignment horizontal="left" vertical="top" wrapText="1"/>
    </x:xf>
    <x:xf numFmtId="0" fontId="3" fillId="3" borderId="3" xfId="0" applyNumberFormat="1" applyFont="1" applyFill="1" applyBorder="1" applyAlignment="1">
      <x:alignment horizontal="left" vertical="top" wrapText="1"/>
    </x:xf>
    <x:xf numFmtId="0" fontId="3" fillId="7" borderId="3" xfId="0" applyNumberFormat="1" applyFont="1" applyFill="1" applyBorder="1" applyAlignment="1">
      <x:alignment horizontal="left" vertical="top" wrapText="1"/>
    </x:xf>
    <x:xf numFmtId="0" fontId="3" fillId="7" borderId="4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/>
    <x:xf numFmtId="0" fontId="1" fillId="8" borderId="6" xfId="0" applyNumberFormat="1" applyFont="1" applyFill="1" applyBorder="1" applyAlignment="1">
      <x:alignment wrapText="1"/>
    </x:xf>
    <x:xf numFmtId="0" fontId="1" fillId="8" borderId="6" xfId="0" applyNumberFormat="1" applyFont="1" applyFill="1" applyBorder="1" applyAlignment="1">
      <x:alignment horizont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0" fillId="11" borderId="7" xfId="0" applyNumberFormat="1" applyFont="1" applyFill="1" applyBorder="1"/>
    <x:xf numFmtId="0" fontId="0" fillId="11" borderId="7" xfId="0" applyNumberFormat="1" applyFont="1" applyFill="1" applyBorder="1" applyAlignment="1">
      <x:alignment wrapText="1"/>
    </x:xf>
    <x:xf numFmtId="0" fontId="0" fillId="11" borderId="7" xfId="0" applyNumberFormat="1" applyFont="1" applyFill="1" applyBorder="1" applyAlignment="1">
      <x:alignment vertical="top" wrapText="1"/>
    </x:xf>
    <x:xf numFmtId="0" fontId="0" fillId="12" borderId="7" xfId="0" applyNumberFormat="1" applyFont="1" applyFill="1" applyBorder="1" applyAlignment="1">
      <x:alignment vertical="top" wrapText="1"/>
    </x:xf>
    <x:xf numFmtId="0" fontId="0" fillId="13" borderId="7" xfId="0" applyNumberFormat="1" applyFont="1" applyFill="1" applyBorder="1" applyAlignment="1">
      <x:alignment vertical="top" wrapText="1"/>
    </x:xf>
    <x:xf numFmtId="0" fontId="0" fillId="14" borderId="7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8"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d16a12a42c41bc" /><Relationship Type="http://schemas.openxmlformats.org/officeDocument/2006/relationships/theme" Target="/xl/theme/theme1.xml" Id="R87d5a8a019bb43e0" /><Relationship Type="http://schemas.openxmlformats.org/officeDocument/2006/relationships/sharedStrings" Target="/xl/sharedStrings.xml" Id="Rff241af0f4f94fac" /><Relationship Type="http://schemas.openxmlformats.org/officeDocument/2006/relationships/worksheet" Target="/xl/worksheets/sheet1.xml" Id="R9e618078e6854fea" /><Relationship Type="http://schemas.openxmlformats.org/officeDocument/2006/relationships/worksheet" Target="/xl/worksheets/sheet2.xml" Id="Re15f09e183854736" /><Relationship Type="http://schemas.openxmlformats.org/officeDocument/2006/relationships/worksheet" Target="/xl/worksheets/sheet3.xml" Id="R2b5bf9e64f9f4eca" /><Relationship Type="http://schemas.openxmlformats.org/officeDocument/2006/relationships/worksheet" Target="/xl/worksheets/sheet4.xml" Id="Rac5e8b3599c04842" /><Relationship Type="http://schemas.openxmlformats.org/officeDocument/2006/relationships/worksheet" Target="/xl/worksheets/sheet5.xml" Id="Rf6ca7879afb54ffe" /><Relationship Type="http://schemas.openxmlformats.org/officeDocument/2006/relationships/worksheet" Target="/xl/worksheets/sheet6.xml" Id="R8f9b7a529f314e7a" /><Relationship Type="http://schemas.openxmlformats.org/officeDocument/2006/relationships/worksheet" Target="/xl/worksheets/sheet7.xml" Id="R61c94d28014648ec" /><Relationship Type="http://schemas.openxmlformats.org/officeDocument/2006/relationships/worksheet" Target="/xl/worksheets/sheet8.xml" Id="Reb34b5b6a1bc4d3d" /><Relationship Type="http://schemas.openxmlformats.org/officeDocument/2006/relationships/worksheet" Target="/xl/worksheets/sheet9.xml" Id="Ra5f13dadf36e43fa" /><Relationship Type="http://schemas.openxmlformats.org/officeDocument/2006/relationships/worksheet" Target="/xl/worksheets/sheet10.xml" Id="R0f82e01f86504f84" /><Relationship Type="http://schemas.openxmlformats.org/officeDocument/2006/relationships/worksheet" Target="/xl/worksheets/sheet11.xml" Id="R7eb4c0f1b5fd4acf" /><Relationship Type="http://schemas.openxmlformats.org/officeDocument/2006/relationships/worksheet" Target="/xl/worksheets/sheet12.xml" Id="R10bdd114cf484cdf" /></Relationships>
</file>

<file path=xl/tables/table1.xml><?xml version="1.0" encoding="utf-8"?>
<x:table xmlns:x="http://schemas.openxmlformats.org/spreadsheetml/2006/main" id="2" name="DailyPlanTable" displayName="DailyPlanTable" ref="A4:M25" headerRowCount="1" totalsRowCount="0" totalsRowShown="0">
  <x:tableColumns count="13">
    <x:tableColumn id="1" name="일차"/>
    <x:tableColumn id="2" name="개발주기"/>
    <x:tableColumn id="3" name="작업모드"/>
    <x:tableColumn id="4" name="오늘 큰 목표"/>
    <x:tableColumn id="5" name="AI·ML 목표"/>
    <x:tableColumn id="6" name="백엔드·데이터 목표"/>
    <x:tableColumn id="7" name="프론트엔드·제품 목표"/>
    <x:tableColumn id="8" name="오늘 완료조건"/>
    <x:tableColumn id="9" name="통합 확인일"/>
    <x:tableColumn id="10" name="먼저 읽을 문서"/>
    <x:tableColumn id="11" name="필수 완료 증거"/>
    <x:tableColumn id="12" name="상태"/>
    <x:tableColumn id="13" name="완료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etailedTaskTable" displayName="DetailedTaskTable" ref="A4:R277" headerRowCount="1" totalsRowCount="0" totalsRowShown="0">
  <x:tableColumns count="18">
    <x:tableColumn id="1" name="일차"/>
    <x:tableColumn id="2" name="순서"/>
    <x:tableColumn id="3" name="트랙"/>
    <x:tableColumn id="4" name="작업 ID"/>
    <x:tableColumn id="5" name="분류"/>
    <x:tableColumn id="6" name="세부작업"/>
    <x:tableColumn id="7" name="구체 구현 지시"/>
    <x:tableColumn id="8" name="구현 위치·예상 파일"/>
    <x:tableColumn id="9" name="입력·참조"/>
    <x:tableColumn id="10" name="산출물"/>
    <x:tableColumn id="11" name="검증 명령·방법"/>
    <x:tableColumn id="12" name="완료 기준"/>
    <x:tableColumn id="13" name="안전 확인"/>
    <x:tableColumn id="14" name="상태"/>
    <x:tableColumn id="15" name="완료 증거"/>
    <x:tableColumn id="16" name="막힘·다음 조치"/>
    <x:tableColumn id="17" name="착수 조건"/>
    <x:tableColumn id="18" name="차단 시 대체 방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IntegrationCheckTable" displayName="IntegrationCheckTable" ref="A4:J10" headerRowCount="1" totalsRowCount="0" totalsRowShown="0">
  <x:tableColumns count="10">
    <x:tableColumn id="1" name="일차"/>
    <x:tableColumn id="2" name="확인 목적"/>
    <x:tableColumn id="3" name="준비 입력"/>
    <x:tableColumn id="4" name="실행 시나리오"/>
    <x:tableColumn id="5" name="통과 조건"/>
    <x:tableColumn id="6" name="상태"/>
    <x:tableColumn id="7" name="증거 폴더"/>
    <x:tableColumn id="8" name="차단 결함"/>
    <x:tableColumn id="9" name="책임자"/>
    <x:tableColumn id="10" name="확인 후 행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viderIntegrationTable" displayName="ProviderIntegrationTable" ref="A4:N17" headerRowCount="1" totalsRowCount="0" totalsRowShown="0">
  <x:tableColumns count="14">
    <x:tableColumn id="1" name="Provider"/>
    <x:tableColumn id="2" name="단계"/>
    <x:tableColumn id="3" name="수집 대상"/>
    <x:tableColumn id="4" name="선택 규칙·연결 방식"/>
    <x:tableColumn id="5" name="반드시 확정할 항목"/>
    <x:tableColumn id="6" name="구현·증거 위치"/>
    <x:tableColumn id="7" name="작업 ID"/>
    <x:tableColumn id="8" name="검증 명령"/>
    <x:tableColumn id="9" name="완료 조건"/>
    <x:tableColumn id="10" name="API 불가·차단 시 대체"/>
    <x:tableColumn id="11" name="상태"/>
    <x:tableColumn id="12" name="공식 근거·확인시각"/>
    <x:tableColumn id="13" name="담당자"/>
    <x:tableColumn id="14" name="완료 증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FigmaHandoffTable" displayName="FigmaHandoffTable" ref="A4:J14" headerRowCount="1" totalsRowCount="0" totalsRowShown="0">
  <x:tableColumns count="10">
    <x:tableColumn id="1" name="순서"/>
    <x:tableColumn id="2" name="인계 항목"/>
    <x:tableColumn id="3" name="필수 내용"/>
    <x:tableColumn id="4" name="기준 문서·입력"/>
    <x:tableColumn id="5" name="책임"/>
    <x:tableColumn id="6" name="작업 ID"/>
    <x:tableColumn id="7" name="완료 조건"/>
    <x:tableColumn id="8" name="상태"/>
    <x:tableColumn id="9" name="증거 경로"/>
    <x:tableColumn id="10" name="막힘·다음 조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IExperimentTable" displayName="AIExperimentTable" ref="A4:M15" headerRowCount="1" totalsRowCount="0" totalsRowShown="0">
  <x:tableColumns count="13">
    <x:tableColumn id="1" name="실험 ID"/>
    <x:tableColumn id="2" name="문제"/>
    <x:tableColumn id="3" name="가설"/>
    <x:tableColumn id="4" name="기준방법"/>
    <x:tableColumn id="5" name="비교 후보"/>
    <x:tableColumn id="6" name="평가지표"/>
    <x:tableColumn id="7" name="채택 기준"/>
    <x:tableColumn id="8" name="실행 일차"/>
    <x:tableColumn id="9" name="상태"/>
    <x:tableColumn id="10" name="실제 결과"/>
    <x:tableColumn id="11" name="오류 분석"/>
    <x:tableColumn id="12" name="결정"/>
    <x:tableColumn id="13" name="증거 경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LogTable" displayName="EvidenceLogTable" ref="A4:L10" headerRowCount="1" totalsRowCount="0" totalsRowShown="0">
  <x:tableColumns count="12">
    <x:tableColumn id="1" name="일차"/>
    <x:tableColumn id="2" name="확인명"/>
    <x:tableColumn id="3" name="시나리오"/>
    <x:tableColumn id="4" name="실행 명령"/>
    <x:tableColumn id="5" name="실행 결과"/>
    <x:tableColumn id="6" name="증거 경로"/>
    <x:tableColumn id="7" name="차단 결함"/>
    <x:tableColumn id="8" name="외부 쓰기 호출수"/>
    <x:tableColumn id="9" name="PII·Secret 발견수"/>
    <x:tableColumn id="10" name="판정"/>
    <x:tableColumn id="11" name="책임자"/>
    <x:tableColumn id="12" name="다음 조치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ocumentListTable" displayName="DocumentListTable" ref="A4:F15" headerRowCount="1" totalsRowCount="0" totalsRowShown="0">
  <x:tableColumns count="6">
    <x:tableColumn id="1" name="번호"/>
    <x:tableColumn id="2" name="파일명"/>
    <x:tableColumn id="3" name="쉽게 말하면"/>
    <x:tableColumn id="4" name="언제 읽나"/>
    <x:tableColumn id="5" name="여기서 결정하는 것"/>
    <x:tableColumn id="6" name="주 사용 트랙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lossaryTable" displayName="GlossaryTable" ref="A4:E22" headerRowCount="1" totalsRowCount="0" totalsRowShown="0">
  <x:tableColumns count="5">
    <x:tableColumn id="1" name="한국어"/>
    <x:tableColumn id="2" name="원어"/>
    <x:tableColumn id="3" name="뜻"/>
    <x:tableColumn id="4" name="이 프로젝트 예"/>
    <x:tableColumn id="5" name="언제 쓰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4f43a76da294f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c381ab724ad41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1f7b248c0a744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3df22e17f9148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b676b09eb9947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baf7317245a42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3037df1966c489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707d814be0b4e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2df8fbbce54b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46.66999816894531" hidden="0" customWidth="1"/>
    <x:col min="3" max="3" width="12.779999732971191" hidden="0" customWidth="1"/>
    <x:col min="4" max="4" width="20" hidden="0" customWidth="1"/>
    <x:col min="5" max="5" width="14.4399995803833" hidden="0" customWidth="1"/>
    <x:col min="6" max="6" width="27.780000686645508" hidden="0" customWidth="1"/>
    <x:col min="7" max="7" width="12.779999732971191" hidden="0" customWidth="1"/>
    <x:col min="8" max="8" width="30" hidden="0" customWidth="1"/>
  </x:cols>
  <x:sheetData>
    <x:row r="1" ht="30" customHeight="1">
      <x:c r="A1" s="5" t="str">
        <x:v>AI 커머스 운영 에이전트 · 21일 일정표 사용설명</x:v>
      </x:c>
      <x:c r="B1" s="5" t="str">
        <x:v>AI 커머스 운영 에이전트 · 21일 일정표 사용설명</x:v>
      </x:c>
      <x:c r="C1" s="5" t="str">
        <x:v>AI 커머스 운영 에이전트 · 21일 일정표 사용설명</x:v>
      </x:c>
      <x:c r="D1" s="5" t="str">
        <x:v>AI 커머스 운영 에이전트 · 21일 일정표 사용설명</x:v>
      </x:c>
      <x:c r="E1" s="5" t="str">
        <x:v>AI 커머스 운영 에이전트 · 21일 일정표 사용설명</x:v>
      </x:c>
      <x:c r="F1" s="5" t="str">
        <x:v>AI 커머스 운영 에이전트 · 21일 일정표 사용설명</x:v>
      </x:c>
      <x:c r="G1" s="5" t="str">
        <x:v>AI 커머스 운영 에이전트 · 21일 일정표 사용설명</x:v>
      </x:c>
      <x:c r="H1" s="5" t="str">
        <x:v>AI 커머스 운영 에이전트 · 21일 일정표 사용설명</x:v>
      </x:c>
    </x:row>
    <x:row r="2" ht="28" customHeight="1">
      <x:c r="A2" s="10" t="str">
        <x:v>참고한 고도 일정표의 ‘일일업무 → 세부작업체크 → 완료 증거’ 흐름을 유지하고, 구현 위치·검증 명령·완료 기준을 추가한 실행용 일정표입니다.</x:v>
      </x:c>
      <x:c r="B2" s="10" t="str">
        <x:v>참고한 고도 일정표의 ‘일일업무 → 세부작업체크 → 완료 증거’ 흐름을 유지하고, 구현 위치·검증 명령·완료 기준을 추가한 실행용 일정표입니다.</x:v>
      </x:c>
      <x:c r="C2" s="10" t="str">
        <x:v>참고한 고도 일정표의 ‘일일업무 → 세부작업체크 → 완료 증거’ 흐름을 유지하고, 구현 위치·검증 명령·완료 기준을 추가한 실행용 일정표입니다.</x:v>
      </x:c>
      <x:c r="D2" s="10" t="str">
        <x:v>참고한 고도 일정표의 ‘일일업무 → 세부작업체크 → 완료 증거’ 흐름을 유지하고, 구현 위치·검증 명령·완료 기준을 추가한 실행용 일정표입니다.</x:v>
      </x:c>
      <x:c r="E2" s="10" t="str">
        <x:v>참고한 고도 일정표의 ‘일일업무 → 세부작업체크 → 완료 증거’ 흐름을 유지하고, 구현 위치·검증 명령·완료 기준을 추가한 실행용 일정표입니다.</x:v>
      </x:c>
      <x:c r="F2" s="10" t="str">
        <x:v>참고한 고도 일정표의 ‘일일업무 → 세부작업체크 → 완료 증거’ 흐름을 유지하고, 구현 위치·검증 명령·완료 기준을 추가한 실행용 일정표입니다.</x:v>
      </x:c>
      <x:c r="G2" s="10" t="str">
        <x:v>참고한 고도 일정표의 ‘일일업무 → 세부작업체크 → 완료 증거’ 흐름을 유지하고, 구현 위치·검증 명령·완료 기준을 추가한 실행용 일정표입니다.</x:v>
      </x:c>
      <x:c r="H2" s="10" t="str">
        <x:v>참고한 고도 일정표의 ‘일일업무 → 세부작업체크 → 완료 증거’ 흐름을 유지하고, 구현 위치·검증 명령·완료 기준을 추가한 실행용 일정표입니다.</x:v>
      </x:c>
    </x:row>
    <x:row r="3">
      <x:c r="A3"/>
      <x:c r="B3"/>
      <x:c r="C3"/>
      <x:c r="D3"/>
      <x:c r="E3"/>
      <x:c r="F3"/>
      <x:c r="G3"/>
      <x:c r="H3"/>
    </x:row>
    <x:row r="4" ht="32" customHeight="1">
      <x:c r="A4" s="16" t="str">
        <x:v>매일 읽는 순서</x:v>
      </x:c>
      <x:c r="B4" s="16" t="str">
        <x:v>실행 방법</x:v>
      </x:c>
      <x:c r="C4"/>
      <x:c r="D4" s="16" t="str">
        <x:v>이전 표현</x:v>
      </x:c>
      <x:c r="E4" s="16" t="str">
        <x:v>개정 표현</x:v>
      </x:c>
      <x:c r="F4" s="16" t="str">
        <x:v>뜻</x:v>
      </x:c>
      <x:c r="G4" s="16" t="str">
        <x:v>개발 중 행동</x:v>
      </x:c>
      <x:c r="H4" s="16" t="str">
        <x:v>판정</x:v>
      </x:c>
    </x:row>
    <x:row r="5">
      <x:c r="A5" s="27" t="str">
        <x:v>1</x:v>
      </x:c>
      <x:c r="B5" s="27" t="str">
        <x:v>‘일일업무’에서 오늘 일차의 큰 목표와 오늘 완료조건을 읽습니다.</x:v>
      </x:c>
      <x:c r="C5"/>
      <x:c r="D5" s="27" t="str">
        <x:v>Gate</x:v>
      </x:c>
      <x:c r="E5" s="27" t="str">
        <x:v>오늘 완료조건</x:v>
      </x:c>
      <x:c r="F5" s="27" t="str">
        <x:v>그날 끝났다고 볼 수 있는 기준</x:v>
      </x:c>
      <x:c r="G5" s="27" t="str">
        <x:v>검증 명령과 증거를 확인</x:v>
      </x:c>
      <x:c r="H5" s="27" t="str">
        <x:v>조건 미충족이면 미완료</x:v>
      </x:c>
    </x:row>
    <x:row r="6">
      <x:c r="A6" s="28" t="str">
        <x:v>2</x:v>
      </x:c>
      <x:c r="B6" s="28" t="str">
        <x:v>‘세부작업체크’에서 일차와 트랙을 필터링하고 ‘착수 조건’이 충족됐는지 먼저 확인합니다.</x:v>
      </x:c>
      <x:c r="C6"/>
      <x:c r="D6" s="28" t="str">
        <x:v>Integration Gate</x:v>
      </x:c>
      <x:c r="E6" s="28" t="str">
        <x:v>통합 확인일</x:v>
      </x:c>
      <x:c r="F6" s="28" t="str">
        <x:v>세 트랙 결과를 연결해 계약·오류·안전을 시험하는 날</x:v>
      </x:c>
      <x:c r="G6" s="28" t="str">
        <x:v>Day 4·8·12·16·20, 최종 21</x:v>
      </x:c>
      <x:c r="H6" s="28" t="str">
        <x:v>통합 시나리오 결과로 판정</x:v>
      </x:c>
    </x:row>
    <x:row r="7">
      <x:c r="A7" s="28" t="str">
        <x:v>3</x:v>
      </x:c>
      <x:c r="B7" s="28" t="str">
        <x:v>각 행을 착수 조건 → 구현 지시 → 구현 위치 → 검증 방법 → 완료 기준 → 완료 증거 순서로 읽습니다.</x:v>
      </x:c>
      <x:c r="C7"/>
      <x:c r="D7" s="28" t="str">
        <x:v>Contract</x:v>
      </x:c>
      <x:c r="E7" s="28" t="str">
        <x:v>공동 계약</x:v>
      </x:c>
      <x:c r="F7" s="28" t="str">
        <x:v>API·이벤트·AI 응답 필드 약속</x:v>
      </x:c>
      <x:c r="G7" s="28" t="str">
        <x:v>다른 트랙을 기다리지 않고 Mock에 사용</x:v>
      </x:c>
      <x:c r="H7" s="28" t="str">
        <x:v>계약 테스트 차이 0건</x:v>
      </x:c>
    </x:row>
    <x:row r="8">
      <x:c r="A8" s="28" t="str">
        <x:v>4</x:v>
      </x:c>
      <x:c r="B8" s="28" t="str">
        <x:v>작업을 시작하면 상태를 ‘진행 중’으로 바꿉니다.</x:v>
      </x:c>
      <x:c r="C8"/>
      <x:c r="D8" s="28" t="str">
        <x:v>Mock</x:v>
      </x:c>
      <x:c r="E8" s="28" t="str">
        <x:v>가짜 응답</x:v>
      </x:c>
      <x:c r="F8" s="28" t="str">
        <x:v>아직 없는 시스템을 대신하는 시험 응답</x:v>
      </x:c>
      <x:c r="G8" s="28" t="str">
        <x:v>독립 개발과 오류 시나리오에 사용</x:v>
      </x:c>
      <x:c r="H8" s="28" t="str">
        <x:v>계약과 같은 필드</x:v>
      </x:c>
    </x:row>
    <x:row r="9">
      <x:c r="A9" s="28" t="str">
        <x:v>5</x:v>
      </x:c>
      <x:c r="B9" s="28" t="str">
        <x:v>검증 명령을 실행하고 로그·JSON·스크린샷 경로를 완료 증거에 기록합니다.</x:v>
      </x:c>
      <x:c r="C9"/>
      <x:c r="D9" s="28" t="str">
        <x:v>Evidence</x:v>
      </x:c>
      <x:c r="E9" s="28" t="str">
        <x:v>완료 증거</x:v>
      </x:c>
      <x:c r="F9" s="28" t="str">
        <x:v>다시 실행·확인 가능한 결과</x:v>
      </x:c>
      <x:c r="G9" s="28" t="str">
        <x:v>로그·JSON·스크린샷·시험보고서 경로 기록</x:v>
      </x:c>
      <x:c r="H9" s="28" t="str">
        <x:v>말로만 완료 금지</x:v>
      </x:c>
    </x:row>
    <x:row r="10">
      <x:c r="A10" s="28" t="str">
        <x:v>6</x:v>
      </x:c>
      <x:c r="B10" s="28" t="str">
        <x:v>완료 기준을 전부 만족할 때만 상태를 ‘완료’로 바꿉니다.</x:v>
      </x:c>
      <x:c r="C10"/>
      <x:c r="D10" s="29" t="str">
        <x:v>Read-Only</x:v>
      </x:c>
      <x:c r="E10" s="29" t="str">
        <x:v>읽기 전용</x:v>
      </x:c>
      <x:c r="F10" s="29" t="str">
        <x:v>실제 운영 상태를 바꾸지 않음</x:v>
      </x:c>
      <x:c r="G10" s="29" t="str">
        <x:v>조회·분석·제안만 수행</x:v>
      </x:c>
      <x:c r="H10" s="29" t="str">
        <x:v>외부 쓰기 호출 0회</x:v>
      </x:c>
    </x:row>
    <x:row r="11">
      <x:c r="A11" s="29" t="str">
        <x:v>7</x:v>
      </x:c>
      <x:c r="B11" s="29" t="str">
        <x:v>‘진행현황’에서 일차·트랙 완료율과 차단 항목을 확인합니다.</x:v>
      </x:c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 ht="32" customHeight="1">
      <x:c r="A13" s="16" t="str">
        <x:v>반드시 지키는 안전 규칙</x:v>
      </x:c>
      <x:c r="B13" s="16" t="str">
        <x:v>설명</x:v>
      </x:c>
      <x:c r="C13" s="16" t="str">
        <x:v>예시</x:v>
      </x:c>
      <x:c r="D13" s="16" t="str">
        <x:v>설명</x:v>
      </x:c>
      <x:c r="E13" s="16" t="str">
        <x:v>트랙 독립 개발</x:v>
      </x:c>
      <x:c r="F13" s="16" t="str">
        <x:v>설명</x:v>
      </x:c>
      <x:c r="G13" s="16" t="str">
        <x:v>완료 처리</x:v>
      </x:c>
      <x:c r="H13" s="16" t="str">
        <x:v>설명</x:v>
      </x:c>
    </x:row>
    <x:row r="14">
      <x:c r="A14" s="27" t="str">
        <x:v>Production 초기 읽기 전용</x:v>
      </x:c>
      <x:c r="B14" s="27" t="str">
        <x:v>실제 운영 계정에는 조회 권한만</x:v>
      </x:c>
      <x:c r="C14" s="27" t="str">
        <x:v>금전·환불</x:v>
      </x:c>
      <x:c r="D14" s="27" t="str">
        <x:v>AI 자동 실행 금지</x:v>
      </x:c>
      <x:c r="E14" s="27" t="str">
        <x:v>AI·ML</x:v>
      </x:c>
      <x:c r="F14" s="27" t="str">
        <x:v>Golden Set과 Mock Tool로 단독 실행</x:v>
      </x:c>
      <x:c r="G14" s="27" t="str">
        <x:v>상태</x:v>
      </x:c>
      <x:c r="H14" s="27" t="str">
        <x:v>미착수/진행 중/검토 대기/완료/차단</x:v>
      </x:c>
    </x:row>
    <x:row r="15">
      <x:c r="A15" s="28" t="str">
        <x:v>실재고·가격 변경 금지</x:v>
      </x:c>
      <x:c r="B15" s="28" t="str">
        <x:v>21일에는 제안과 Demo stub까지만</x:v>
      </x:c>
      <x:c r="C15" s="28" t="str">
        <x:v>주문취소</x:v>
      </x:c>
      <x:c r="D15" s="28" t="str">
        <x:v>AI 자동 실행 금지</x:v>
      </x:c>
      <x:c r="E15" s="28" t="str">
        <x:v>백엔드·데이터</x:v>
      </x:c>
      <x:c r="F15" s="28" t="str">
        <x:v>Mock Provider·Mock AI로 단독 실행</x:v>
      </x:c>
      <x:c r="G15" s="28" t="str">
        <x:v>증거</x:v>
      </x:c>
      <x:c r="H15" s="28" t="str">
        <x:v>결과 파일 또는 재현 명령 필수</x:v>
      </x:c>
    </x:row>
    <x:row r="16">
      <x:c r="A16" s="28" t="str">
        <x:v>실제 사업 데이터 비공개</x:v>
      </x:c>
      <x:c r="B16" s="28" t="str">
        <x:v>공개물은 합성 데이터만</x:v>
      </x:c>
      <x:c r="C16" s="28" t="str">
        <x:v>고객 문의</x:v>
      </x:c>
      <x:c r="D16" s="28" t="str">
        <x:v>PII 제거 후 비공개 평가만</x:v>
      </x:c>
      <x:c r="E16" s="28" t="str">
        <x:v>프론트엔드·제품</x:v>
      </x:c>
      <x:c r="F16" s="28" t="str">
        <x:v>OpenAPI Mock·Fixture로 단독 실행</x:v>
      </x:c>
      <x:c r="G16" s="28" t="str">
        <x:v>차단</x:v>
      </x:c>
      <x:c r="H16" s="28" t="str">
        <x:v>원인·필요 결정·다음 조치 기록</x:v>
      </x:c>
    </x:row>
    <x:row r="17">
      <x:c r="A17" s="28" t="str">
        <x:v>AI 제안 전용</x:v>
      </x:c>
      <x:c r="B17" s="28" t="str">
        <x:v>사람 승인 전 외부 행동 없음</x:v>
      </x:c>
      <x:c r="C17" s="28" t="str">
        <x:v>통합 확인일</x:v>
      </x:c>
      <x:c r="D17" s="28" t="str">
        <x:v>기다리는 날이 아니라 연결·시험하는 날</x:v>
      </x:c>
      <x:c r="E17" s="28" t="str">
        <x:v>계약 변경</x:v>
      </x:c>
      <x:c r="F17" s="28" t="str">
        <x:v>버전·예시·계약시험 먼저</x:v>
      </x:c>
      <x:c r="G17" s="28" t="str">
        <x:v>완료율</x:v>
      </x:c>
      <x:c r="H17" s="28" t="str">
        <x:v>세부작업 상태에서 자동 계산</x:v>
      </x:c>
    </x:row>
    <x:row r="18">
      <x:c r="A18" s="29" t="str">
        <x:v>기능 축소 없음</x:v>
      </x:c>
      <x:c r="B18" s="29" t="str">
        <x:v>21일 핵심 기능 모두 포함</x:v>
      </x:c>
      <x:c r="C18" s="29" t="str">
        <x:v>Pilot</x:v>
      </x:c>
      <x:c r="D18" s="29" t="str">
        <x:v>21일 이후 별도 Roadmap</x:v>
      </x:c>
      <x:c r="E18" s="29" t="str">
        <x:v>병렬 진행</x:v>
      </x:c>
      <x:c r="F18" s="29" t="str">
        <x:v>다른 트랙 완료를 기다리지 않음</x:v>
      </x:c>
      <x:c r="G18" s="29" t="str">
        <x:v>최종</x:v>
      </x:c>
      <x:c r="H18" s="29" t="str">
        <x:v>안전·재현·문서까지 통과</x:v>
      </x:c>
    </x:row>
    <x:row r="19">
      <x:c r="A19"/>
      <x:c r="B19"/>
      <x:c r="C19"/>
      <x:c r="D19"/>
      <x:c r="E19"/>
      <x:c r="F19"/>
      <x:c r="G19"/>
      <x:c r="H19"/>
    </x:row>
    <x:row r="20">
      <x:c r="A20" s="31" t="str">
        <x:v>작업 ID 사용 예</x:v>
      </x:c>
      <x:c r="B20" s="31" t="str">
        <x:v>D01-BE-02</x:v>
      </x:c>
      <x:c r="C20" s="31" t="str">
        <x:v>읽을 요구사항</x:v>
      </x:c>
      <x:c r="D20" s="31" t="str">
        <x:v>FR-INT-004</x:v>
      </x:c>
      <x:c r="E20" s="31" t="str">
        <x:v>수정 위치</x:v>
      </x:c>
      <x:c r="F20" s="31" t="str">
        <x:v>contracts/events.py</x:v>
      </x:c>
      <x:c r="G20" s="31" t="str">
        <x:v>검증</x:v>
      </x:c>
      <x:c r="H20" s="31" t="str">
        <x:v>pytest tests/contract/test_event_envelope.py -q</x:v>
      </x:c>
    </x:row>
    <x:row r="21">
      <x:c r="A21" s="28" t="str">
        <x:v>AI/개발자 지시 예</x:v>
      </x:c>
      <x:c r="B21" s="28" t="str">
        <x:v>D01-BE-02를 구현한다. 요구사항과 API 계약을 따르고 지정 파일을 수정한 뒤 검증 명령을 통과시키고 완료 증거를 남겨라.</x:v>
      </x:c>
      <x:c r="C21" s="28"/>
      <x:c r="D21" s="28"/>
      <x:c r="E21" s="28"/>
      <x:c r="F21" s="28"/>
      <x:c r="G21" s="28"/>
      <x:c r="H21" s="28"/>
    </x:row>
    <x:row r="22">
      <x:c r="A22" s="28" t="str">
        <x:v>나쁜 지시 예</x:v>
      </x:c>
      <x:c r="B22" s="28" t="str">
        <x:v>‘1일차 백엔드 진행’처럼 작업 ID·파일·검증이 없는 지시는 범위가 너무 넓습니다.</x:v>
      </x:c>
      <x:c r="C22" s="28"/>
      <x:c r="D22" s="28"/>
      <x:c r="E22" s="28"/>
      <x:c r="F22" s="28"/>
      <x:c r="G22" s="28"/>
      <x:c r="H22" s="28"/>
    </x:row>
    <x:row r="23">
      <x:c r="A23" s="28" t="str">
        <x:v>작업시간</x:v>
      </x:c>
      <x:c r="B23" s="28" t="str">
        <x:v>총 210 상대 작업시간: AI·ML 94.5시간(45%), 백엔드·데이터 84시간(40%), 프론트엔드·제품 31.5시간(15%). 세 트랙은 병렬이며 합계는 비중 관리용입니다.</x:v>
      </x:c>
      <x:c r="C23" s="28"/>
      <x:c r="D23" s="28"/>
      <x:c r="E23" s="28"/>
      <x:c r="F23" s="28"/>
      <x:c r="G23" s="28"/>
      <x:c r="H23" s="28"/>
    </x:row>
    <x:row r="24">
      <x:c r="A24" s="28" t="str">
        <x:v>외부 API 일정</x:v>
      </x:c>
      <x:c r="B24" s="28" t="str">
        <x:v>5일차 Cafe24 결정·실제 Read Adapter, 6일차 Toss/eCount 방식 확정·Adapter/Importer, 7일차 cursor·rate limit·retry·재처리, 8일차 실제 Read/파일 Import 통합 및 원본 무변경 증거를 확인합니다.</x:v>
      </x:c>
      <x:c r="C24" s="28"/>
      <x:c r="D24" s="28"/>
      <x:c r="E24" s="28"/>
      <x:c r="F24" s="28"/>
      <x:c r="G24" s="28"/>
      <x:c r="H24" s="28"/>
    </x:row>
    <x:row r="25">
      <x:c r="A25" s="28" t="str">
        <x:v>API연동실행표</x:v>
      </x:c>
      <x:c r="B25" s="28" t="str">
        <x:v>공식 근거가 없는 endpoint는 입력하지 않습니다. API가 없으면 같은 ProviderReadPage 계약의 파일 Importer를 선택하며, UNKNOWN은 Production 동기화를 차단합니다.</x:v>
      </x:c>
      <x:c r="C25" s="28"/>
      <x:c r="D25" s="28"/>
      <x:c r="E25" s="28"/>
      <x:c r="F25" s="28"/>
      <x:c r="G25" s="28"/>
      <x:c r="H25" s="28"/>
    </x:row>
    <x:row r="26">
      <x:c r="A26" s="28" t="str">
        <x:v>개발 도구</x:v>
      </x:c>
      <x:c r="B26" s="28" t="str">
        <x:v>AI는 Codex를 사용하지 않습니다. Backend·Frontend는 사용자가 구조 확인→핵심 수정→기본시험을 수행한 뒤 Codex를 리뷰·경계시험·계약 차이·관련 회귀 보조에 사용합니다. 미래 Day 선행은 금지합니다.</x:v>
      </x:c>
      <x:c r="C26" s="28"/>
      <x:c r="D26" s="28"/>
      <x:c r="E26" s="28"/>
      <x:c r="F26" s="28"/>
      <x:c r="G26" s="28"/>
      <x:c r="H26" s="28"/>
    </x:row>
    <x:row r="27">
      <x:c r="A27" s="29" t="str">
        <x:v>Figma AI</x:v>
      </x:c>
      <x:c r="B27" s="29" t="str">
        <x:v>Figma AI 결과와 handoff는 참고 기준으로 유지합니다. 실제 프론트 코드는 기존 Route·Page·Component·Type·Mock·CSS·Test 구조를 재사용해 사용자 주도로 수정하고 Codex는 이후 리뷰·시험만 보강합니다.</x:v>
      </x:c>
      <x:c r="C27" s="29"/>
      <x:c r="D27" s="29"/>
      <x:c r="E27" s="29"/>
      <x:c r="F27" s="29"/>
      <x:c r="G27" s="29"/>
      <x:c r="H27" s="29"/>
    </x:row>
  </x:sheetData>
  <x:mergeCells>
    <x:mergeCell ref="A1:H1"/>
    <x:mergeCell ref="A2:H2"/>
    <x:mergeCell ref="B21:H21"/>
    <x:mergeCell ref="B22:H22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1.109999656677246" hidden="0" customWidth="1"/>
    <x:col min="3" max="3" width="11.109999656677246" hidden="0" customWidth="1"/>
    <x:col min="4" max="4" width="12.220000267028809" hidden="0" customWidth="1"/>
    <x:col min="5" max="5" width="4.440000057220459" hidden="0" customWidth="1"/>
    <x:col min="6" max="6" width="10" hidden="0" customWidth="1"/>
    <x:col min="7" max="7" width="8.890000343322754" hidden="0" customWidth="1"/>
    <x:col min="8" max="8" width="8.890000343322754" hidden="0" customWidth="1"/>
    <x:col min="9" max="9" width="8.890000343322754" hidden="0" customWidth="1"/>
    <x:col min="10" max="10" width="11.109999656677246" hidden="0" customWidth="1"/>
  </x:cols>
  <x:sheetData>
    <x:row r="1" ht="30" customHeight="1">
      <x:c r="A1" s="5" t="str">
        <x:v>21일 개발 진행현황</x:v>
      </x:c>
      <x:c r="B1" s="5" t="str">
        <x:v>21일 개발 진행현황</x:v>
      </x:c>
      <x:c r="C1" s="5" t="str">
        <x:v>21일 개발 진행현황</x:v>
      </x:c>
      <x:c r="D1" s="5" t="str">
        <x:v>21일 개발 진행현황</x:v>
      </x:c>
      <x:c r="E1" s="5" t="str">
        <x:v>21일 개발 진행현황</x:v>
      </x:c>
      <x:c r="F1" s="5" t="str">
        <x:v>21일 개발 진행현황</x:v>
      </x:c>
      <x:c r="G1" s="5" t="str">
        <x:v>21일 개발 진행현황</x:v>
      </x:c>
      <x:c r="H1" s="5" t="str">
        <x:v>21일 개발 진행현황</x:v>
      </x:c>
      <x:c r="I1"/>
      <x:c r="J1"/>
    </x:row>
    <x:row r="2" ht="28" customHeight="1">
      <x:c r="A2" s="10" t="str">
        <x:v>‘세부작업체크’의 상태를 바꾸면 아래 완료율과 차단 건수가 자동으로 갱신됩니다.</x:v>
      </x:c>
      <x:c r="B2" s="10" t="str">
        <x:v>‘세부작업체크’의 상태를 바꾸면 아래 완료율과 차단 건수가 자동으로 갱신됩니다.</x:v>
      </x:c>
      <x:c r="C2" s="10" t="str">
        <x:v>‘세부작업체크’의 상태를 바꾸면 아래 완료율과 차단 건수가 자동으로 갱신됩니다.</x:v>
      </x:c>
      <x:c r="D2" s="10" t="str">
        <x:v>‘세부작업체크’의 상태를 바꾸면 아래 완료율과 차단 건수가 자동으로 갱신됩니다.</x:v>
      </x:c>
      <x:c r="E2" s="10" t="str">
        <x:v>‘세부작업체크’의 상태를 바꾸면 아래 완료율과 차단 건수가 자동으로 갱신됩니다.</x:v>
      </x:c>
      <x:c r="F2" s="10" t="str">
        <x:v>‘세부작업체크’의 상태를 바꾸면 아래 완료율과 차단 건수가 자동으로 갱신됩니다.</x:v>
      </x:c>
      <x:c r="G2" s="10" t="str">
        <x:v>‘세부작업체크’의 상태를 바꾸면 아래 완료율과 차단 건수가 자동으로 갱신됩니다.</x:v>
      </x:c>
      <x:c r="H2" s="10" t="str">
        <x:v>‘세부작업체크’의 상태를 바꾸면 아래 완료율과 차단 건수가 자동으로 갱신됩니다.</x:v>
      </x:c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16" t="str">
        <x:v>전체 계획 작업</x:v>
      </x:c>
      <x:c r="B4" s="16" t="str">
        <x:v>완료 작업</x:v>
      </x:c>
      <x:c r="C4" s="16" t="str">
        <x:v>차단 작업</x:v>
      </x:c>
      <x:c r="D4" s="16" t="str">
        <x:v>전체 완료율</x:v>
      </x:c>
      <x:c r="E4"/>
      <x:c r="F4" s="16" t="str">
        <x:v>일차</x:v>
      </x:c>
      <x:c r="G4" s="16" t="str">
        <x:v>계획</x:v>
      </x:c>
      <x:c r="H4" s="16" t="str">
        <x:v>완료</x:v>
      </x:c>
      <x:c r="I4" s="16" t="str">
        <x:v>차단</x:v>
      </x:c>
      <x:c r="J4" s="16" t="str">
        <x:v>완료율</x:v>
      </x:c>
    </x:row>
    <x:row r="5">
      <x:c r="A5" s="35" t="n">
        <x:v>273</x:v>
      </x:c>
      <x:c r="B5" s="35" t="n">
        <x:f>COUNTIF('세부작업체크'!$N$5:$N$277,"완료")</x:f>
        <x:v>39</x:v>
      </x:c>
      <x:c r="C5" s="35" t="n">
        <x:f>COUNTIF('세부작업체크'!$N$5:$N$277,"차단")</x:f>
        <x:v>0</x:v>
      </x:c>
      <x:c r="D5" s="36" t="n">
        <x:f>IF(A5=0,0,B5/A5)</x:f>
        <x:v>0.14285714285714285</x:v>
      </x:c>
      <x:c r="E5"/>
      <x:c r="F5" s="27" t="str">
        <x:v>1일차</x:v>
      </x:c>
      <x:c r="G5" s="27" t="n">
        <x:v>13</x:v>
      </x:c>
      <x:c r="H5" s="27" t="n">
        <x:f>COUNTIFS('세부작업체크'!$A$5:$A$277,F5,'세부작업체크'!$N$5:$N$277,"완료")</x:f>
        <x:v>13</x:v>
      </x:c>
      <x:c r="I5" s="27" t="n">
        <x:f>COUNTIFS('세부작업체크'!$A$5:$A$277,F5,'세부작업체크'!$N$5:$N$277,"차단")</x:f>
        <x:v>0</x:v>
      </x:c>
      <x:c r="J5" s="37" t="n">
        <x:f>IF(G5=0,0,H5/G5)</x:f>
        <x:v>1</x:v>
      </x:c>
    </x:row>
    <x:row r="6" ht="32" customHeight="1">
      <x:c r="A6" s="16" t="str">
        <x:v>작업시간 합계</x:v>
      </x:c>
      <x:c r="B6" s="16" t="str">
        <x:v>AI·ML</x:v>
      </x:c>
      <x:c r="C6" s="16" t="str">
        <x:v>백엔드·데이터</x:v>
      </x:c>
      <x:c r="D6" s="16" t="str">
        <x:v>프론트엔드·제품</x:v>
      </x:c>
      <x:c r="E6"/>
      <x:c r="F6" s="28" t="str">
        <x:v>2일차</x:v>
      </x:c>
      <x:c r="G6" s="28" t="n">
        <x:v>13</x:v>
      </x:c>
      <x:c r="H6" s="28" t="n">
        <x:f>COUNTIFS('세부작업체크'!$A$5:$A$277,F6,'세부작업체크'!$N$5:$N$277,"완료")</x:f>
        <x:v>13</x:v>
      </x:c>
      <x:c r="I6" s="28" t="n">
        <x:f>COUNTIFS('세부작업체크'!$A$5:$A$277,F6,'세부작업체크'!$N$5:$N$277,"차단")</x:f>
        <x:v>0</x:v>
      </x:c>
      <x:c r="J6" s="38" t="n">
        <x:f>IF(G6=0,0,H6/G6)</x:f>
        <x:v>1</x:v>
      </x:c>
    </x:row>
    <x:row r="7">
      <x:c r="A7" s="35" t="n">
        <x:v>210</x:v>
      </x:c>
      <x:c r="B7" s="35" t="n">
        <x:v>94.5</x:v>
      </x:c>
      <x:c r="C7" s="35" t="n">
        <x:v>84</x:v>
      </x:c>
      <x:c r="D7" s="35" t="n">
        <x:v>31.5</x:v>
      </x:c>
      <x:c r="E7"/>
      <x:c r="F7" s="28" t="str">
        <x:v>3일차</x:v>
      </x:c>
      <x:c r="G7" s="28" t="n">
        <x:v>13</x:v>
      </x:c>
      <x:c r="H7" s="28" t="n">
        <x:f>COUNTIFS('세부작업체크'!$A$5:$A$277,F7,'세부작업체크'!$N$5:$N$277,"완료")</x:f>
        <x:v>13</x:v>
      </x:c>
      <x:c r="I7" s="28" t="n">
        <x:f>COUNTIFS('세부작업체크'!$A$5:$A$277,F7,'세부작업체크'!$N$5:$N$277,"차단")</x:f>
        <x:v>0</x:v>
      </x:c>
      <x:c r="J7" s="38" t="n">
        <x:f>IF(G7=0,0,H7/G7)</x:f>
        <x:v>1</x:v>
      </x:c>
    </x:row>
    <x:row r="8">
      <x:c r="A8"/>
      <x:c r="B8"/>
      <x:c r="C8"/>
      <x:c r="D8"/>
      <x:c r="E8"/>
      <x:c r="F8" s="28" t="str">
        <x:v>4일차</x:v>
      </x:c>
      <x:c r="G8" s="28" t="n">
        <x:v>13</x:v>
      </x:c>
      <x:c r="H8" s="28" t="n">
        <x:f>COUNTIFS('세부작업체크'!$A$5:$A$277,F8,'세부작업체크'!$N$5:$N$277,"완료")</x:f>
        <x:v>0</x:v>
      </x:c>
      <x:c r="I8" s="28" t="n">
        <x:f>COUNTIFS('세부작업체크'!$A$5:$A$277,F8,'세부작업체크'!$N$5:$N$277,"차단")</x:f>
        <x:v>0</x:v>
      </x:c>
      <x:c r="J8" s="38" t="n">
        <x:f>IF(G8=0,0,H8/G8)</x:f>
        <x:v>0</x:v>
      </x:c>
    </x:row>
    <x:row r="9" ht="32" customHeight="1">
      <x:c r="A9" s="16" t="str">
        <x:v>트랙</x:v>
      </x:c>
      <x:c r="B9" s="16" t="str">
        <x:v>계획 건수</x:v>
      </x:c>
      <x:c r="C9" s="16" t="str">
        <x:v>완료 건수</x:v>
      </x:c>
      <x:c r="D9" s="16" t="str">
        <x:v>완료율</x:v>
      </x:c>
      <x:c r="E9"/>
      <x:c r="F9" s="28" t="str">
        <x:v>5일차</x:v>
      </x:c>
      <x:c r="G9" s="28" t="n">
        <x:v>13</x:v>
      </x:c>
      <x:c r="H9" s="28" t="n">
        <x:f>COUNTIFS('세부작업체크'!$A$5:$A$277,F9,'세부작업체크'!$N$5:$N$277,"완료")</x:f>
        <x:v>0</x:v>
      </x:c>
      <x:c r="I9" s="28" t="n">
        <x:f>COUNTIFS('세부작업체크'!$A$5:$A$277,F9,'세부작업체크'!$N$5:$N$277,"차단")</x:f>
        <x:v>0</x:v>
      </x:c>
      <x:c r="J9" s="38" t="n">
        <x:f>IF(G9=0,0,H9/G9)</x:f>
        <x:v>0</x:v>
      </x:c>
    </x:row>
    <x:row r="10">
      <x:c r="A10" s="27" t="str">
        <x:v>AI·ML</x:v>
      </x:c>
      <x:c r="B10" s="27" t="n">
        <x:v>105</x:v>
      </x:c>
      <x:c r="C10" s="27" t="n">
        <x:f>COUNTIFS('세부작업체크'!$C$5:$C$277,A10,'세부작업체크'!$N$5:$N$277,"완료")</x:f>
        <x:v>15</x:v>
      </x:c>
      <x:c r="D10" s="37" t="n">
        <x:f>IF(B10=0,0,C10/B10)</x:f>
        <x:v>0.14285714285714285</x:v>
      </x:c>
      <x:c r="E10"/>
      <x:c r="F10" s="28" t="str">
        <x:v>6일차</x:v>
      </x:c>
      <x:c r="G10" s="28" t="n">
        <x:v>13</x:v>
      </x:c>
      <x:c r="H10" s="28" t="n">
        <x:f>COUNTIFS('세부작업체크'!$A$5:$A$277,F10,'세부작업체크'!$N$5:$N$277,"완료")</x:f>
        <x:v>0</x:v>
      </x:c>
      <x:c r="I10" s="28" t="n">
        <x:f>COUNTIFS('세부작업체크'!$A$5:$A$277,F10,'세부작업체크'!$N$5:$N$277,"차단")</x:f>
        <x:v>0</x:v>
      </x:c>
      <x:c r="J10" s="38" t="n">
        <x:f>IF(G10=0,0,H10/G10)</x:f>
        <x:v>0</x:v>
      </x:c>
    </x:row>
    <x:row r="11">
      <x:c r="A11" s="28" t="str">
        <x:v>백엔드·데이터</x:v>
      </x:c>
      <x:c r="B11" s="28" t="n">
        <x:v>105</x:v>
      </x:c>
      <x:c r="C11" s="28" t="n">
        <x:f>COUNTIFS('세부작업체크'!$C$5:$C$277,A11,'세부작업체크'!$N$5:$N$277,"완료")</x:f>
        <x:v>15</x:v>
      </x:c>
      <x:c r="D11" s="38" t="n">
        <x:f>IF(B11=0,0,C11/B11)</x:f>
        <x:v>0.14285714285714285</x:v>
      </x:c>
      <x:c r="E11"/>
      <x:c r="F11" s="28" t="str">
        <x:v>7일차</x:v>
      </x:c>
      <x:c r="G11" s="28" t="n">
        <x:v>13</x:v>
      </x:c>
      <x:c r="H11" s="28" t="n">
        <x:f>COUNTIFS('세부작업체크'!$A$5:$A$277,F11,'세부작업체크'!$N$5:$N$277,"완료")</x:f>
        <x:v>0</x:v>
      </x:c>
      <x:c r="I11" s="28" t="n">
        <x:f>COUNTIFS('세부작업체크'!$A$5:$A$277,F11,'세부작업체크'!$N$5:$N$277,"차단")</x:f>
        <x:v>0</x:v>
      </x:c>
      <x:c r="J11" s="38" t="n">
        <x:f>IF(G11=0,0,H11/G11)</x:f>
        <x:v>0</x:v>
      </x:c>
    </x:row>
    <x:row r="12">
      <x:c r="A12" s="29" t="str">
        <x:v>프론트엔드·제품</x:v>
      </x:c>
      <x:c r="B12" s="29" t="n">
        <x:v>63</x:v>
      </x:c>
      <x:c r="C12" s="29" t="n">
        <x:f>COUNTIFS('세부작업체크'!$C$5:$C$277,A12,'세부작업체크'!$N$5:$N$277,"완료")</x:f>
        <x:v>9</x:v>
      </x:c>
      <x:c r="D12" s="39" t="n">
        <x:f>IF(B12=0,0,C12/B12)</x:f>
        <x:v>0.14285714285714285</x:v>
      </x:c>
      <x:c r="E12"/>
      <x:c r="F12" s="28" t="str">
        <x:v>8일차</x:v>
      </x:c>
      <x:c r="G12" s="28" t="n">
        <x:v>13</x:v>
      </x:c>
      <x:c r="H12" s="28" t="n">
        <x:f>COUNTIFS('세부작업체크'!$A$5:$A$277,F12,'세부작업체크'!$N$5:$N$277,"완료")</x:f>
        <x:v>0</x:v>
      </x:c>
      <x:c r="I12" s="28" t="n">
        <x:f>COUNTIFS('세부작업체크'!$A$5:$A$277,F12,'세부작업체크'!$N$5:$N$277,"차단")</x:f>
        <x:v>0</x:v>
      </x:c>
      <x:c r="J12" s="38" t="n">
        <x:f>IF(G12=0,0,H12/G12)</x:f>
        <x:v>0</x:v>
      </x:c>
    </x:row>
    <x:row r="13">
      <x:c r="A13"/>
      <x:c r="B13"/>
      <x:c r="C13"/>
      <x:c r="D13"/>
      <x:c r="E13"/>
      <x:c r="F13" s="28" t="str">
        <x:v>9일차</x:v>
      </x:c>
      <x:c r="G13" s="28" t="n">
        <x:v>13</x:v>
      </x:c>
      <x:c r="H13" s="28" t="n">
        <x:f>COUNTIFS('세부작업체크'!$A$5:$A$277,F13,'세부작업체크'!$N$5:$N$277,"완료")</x:f>
        <x:v>0</x:v>
      </x:c>
      <x:c r="I13" s="28" t="n">
        <x:f>COUNTIFS('세부작업체크'!$A$5:$A$277,F13,'세부작업체크'!$N$5:$N$277,"차단")</x:f>
        <x:v>0</x:v>
      </x:c>
      <x:c r="J13" s="38" t="n">
        <x:f>IF(G13=0,0,H13/G13)</x:f>
        <x:v>0</x:v>
      </x:c>
    </x:row>
    <x:row r="14">
      <x:c r="A14"/>
      <x:c r="B14"/>
      <x:c r="C14"/>
      <x:c r="D14"/>
      <x:c r="E14"/>
      <x:c r="F14" s="28" t="str">
        <x:v>10일차</x:v>
      </x:c>
      <x:c r="G14" s="28" t="n">
        <x:v>13</x:v>
      </x:c>
      <x:c r="H14" s="28" t="n">
        <x:f>COUNTIFS('세부작업체크'!$A$5:$A$277,F14,'세부작업체크'!$N$5:$N$277,"완료")</x:f>
        <x:v>0</x:v>
      </x:c>
      <x:c r="I14" s="28" t="n">
        <x:f>COUNTIFS('세부작업체크'!$A$5:$A$277,F14,'세부작업체크'!$N$5:$N$277,"차단")</x:f>
        <x:v>0</x:v>
      </x:c>
      <x:c r="J14" s="38" t="n">
        <x:f>IF(G14=0,0,H14/G14)</x:f>
        <x:v>0</x:v>
      </x:c>
    </x:row>
    <x:row r="15">
      <x:c r="A15"/>
      <x:c r="B15"/>
      <x:c r="C15"/>
      <x:c r="D15"/>
      <x:c r="E15"/>
      <x:c r="F15" s="28" t="str">
        <x:v>11일차</x:v>
      </x:c>
      <x:c r="G15" s="28" t="n">
        <x:v>13</x:v>
      </x:c>
      <x:c r="H15" s="28" t="n">
        <x:f>COUNTIFS('세부작업체크'!$A$5:$A$277,F15,'세부작업체크'!$N$5:$N$277,"완료")</x:f>
        <x:v>0</x:v>
      </x:c>
      <x:c r="I15" s="28" t="n">
        <x:f>COUNTIFS('세부작업체크'!$A$5:$A$277,F15,'세부작업체크'!$N$5:$N$277,"차단")</x:f>
        <x:v>0</x:v>
      </x:c>
      <x:c r="J15" s="38" t="n">
        <x:f>IF(G15=0,0,H15/G15)</x:f>
        <x:v>0</x:v>
      </x:c>
    </x:row>
    <x:row r="16">
      <x:c r="A16"/>
      <x:c r="B16"/>
      <x:c r="C16"/>
      <x:c r="D16"/>
      <x:c r="E16"/>
      <x:c r="F16" s="28" t="str">
        <x:v>12일차</x:v>
      </x:c>
      <x:c r="G16" s="28" t="n">
        <x:v>13</x:v>
      </x:c>
      <x:c r="H16" s="28" t="n">
        <x:f>COUNTIFS('세부작업체크'!$A$5:$A$277,F16,'세부작업체크'!$N$5:$N$277,"완료")</x:f>
        <x:v>0</x:v>
      </x:c>
      <x:c r="I16" s="28" t="n">
        <x:f>COUNTIFS('세부작업체크'!$A$5:$A$277,F16,'세부작업체크'!$N$5:$N$277,"차단")</x:f>
        <x:v>0</x:v>
      </x:c>
      <x:c r="J16" s="38" t="n">
        <x:f>IF(G16=0,0,H16/G16)</x:f>
        <x:v>0</x:v>
      </x:c>
    </x:row>
    <x:row r="17">
      <x:c r="A17"/>
      <x:c r="B17"/>
      <x:c r="C17"/>
      <x:c r="D17"/>
      <x:c r="E17"/>
      <x:c r="F17" s="28" t="str">
        <x:v>13일차</x:v>
      </x:c>
      <x:c r="G17" s="28" t="n">
        <x:v>13</x:v>
      </x:c>
      <x:c r="H17" s="28" t="n">
        <x:f>COUNTIFS('세부작업체크'!$A$5:$A$277,F17,'세부작업체크'!$N$5:$N$277,"완료")</x:f>
        <x:v>0</x:v>
      </x:c>
      <x:c r="I17" s="28" t="n">
        <x:f>COUNTIFS('세부작업체크'!$A$5:$A$277,F17,'세부작업체크'!$N$5:$N$277,"차단")</x:f>
        <x:v>0</x:v>
      </x:c>
      <x:c r="J17" s="38" t="n">
        <x:f>IF(G17=0,0,H17/G17)</x:f>
        <x:v>0</x:v>
      </x:c>
    </x:row>
    <x:row r="18">
      <x:c r="A18"/>
      <x:c r="B18"/>
      <x:c r="C18"/>
      <x:c r="D18"/>
      <x:c r="E18"/>
      <x:c r="F18" s="28" t="str">
        <x:v>14일차</x:v>
      </x:c>
      <x:c r="G18" s="28" t="n">
        <x:v>13</x:v>
      </x:c>
      <x:c r="H18" s="28" t="n">
        <x:f>COUNTIFS('세부작업체크'!$A$5:$A$277,F18,'세부작업체크'!$N$5:$N$277,"완료")</x:f>
        <x:v>0</x:v>
      </x:c>
      <x:c r="I18" s="28" t="n">
        <x:f>COUNTIFS('세부작업체크'!$A$5:$A$277,F18,'세부작업체크'!$N$5:$N$277,"차단")</x:f>
        <x:v>0</x:v>
      </x:c>
      <x:c r="J18" s="38" t="n">
        <x:f>IF(G18=0,0,H18/G18)</x:f>
        <x:v>0</x:v>
      </x:c>
    </x:row>
    <x:row r="19">
      <x:c r="A19"/>
      <x:c r="B19"/>
      <x:c r="C19"/>
      <x:c r="D19"/>
      <x:c r="E19"/>
      <x:c r="F19" s="28" t="str">
        <x:v>15일차</x:v>
      </x:c>
      <x:c r="G19" s="28" t="n">
        <x:v>13</x:v>
      </x:c>
      <x:c r="H19" s="28" t="n">
        <x:f>COUNTIFS('세부작업체크'!$A$5:$A$277,F19,'세부작업체크'!$N$5:$N$277,"완료")</x:f>
        <x:v>0</x:v>
      </x:c>
      <x:c r="I19" s="28" t="n">
        <x:f>COUNTIFS('세부작업체크'!$A$5:$A$277,F19,'세부작업체크'!$N$5:$N$277,"차단")</x:f>
        <x:v>0</x:v>
      </x:c>
      <x:c r="J19" s="38" t="n">
        <x:f>IF(G19=0,0,H19/G19)</x:f>
        <x:v>0</x:v>
      </x:c>
    </x:row>
    <x:row r="20">
      <x:c r="A20"/>
      <x:c r="B20"/>
      <x:c r="C20"/>
      <x:c r="D20"/>
      <x:c r="E20"/>
      <x:c r="F20" s="28" t="str">
        <x:v>16일차</x:v>
      </x:c>
      <x:c r="G20" s="28" t="n">
        <x:v>13</x:v>
      </x:c>
      <x:c r="H20" s="28" t="n">
        <x:f>COUNTIFS('세부작업체크'!$A$5:$A$277,F20,'세부작업체크'!$N$5:$N$277,"완료")</x:f>
        <x:v>0</x:v>
      </x:c>
      <x:c r="I20" s="28" t="n">
        <x:f>COUNTIFS('세부작업체크'!$A$5:$A$277,F20,'세부작업체크'!$N$5:$N$277,"차단")</x:f>
        <x:v>0</x:v>
      </x:c>
      <x:c r="J20" s="38" t="n">
        <x:f>IF(G20=0,0,H20/G20)</x:f>
        <x:v>0</x:v>
      </x:c>
    </x:row>
    <x:row r="21">
      <x:c r="A21"/>
      <x:c r="B21"/>
      <x:c r="C21"/>
      <x:c r="D21"/>
      <x:c r="E21"/>
      <x:c r="F21" s="28" t="str">
        <x:v>17일차</x:v>
      </x:c>
      <x:c r="G21" s="28" t="n">
        <x:v>13</x:v>
      </x:c>
      <x:c r="H21" s="28" t="n">
        <x:f>COUNTIFS('세부작업체크'!$A$5:$A$277,F21,'세부작업체크'!$N$5:$N$277,"완료")</x:f>
        <x:v>0</x:v>
      </x:c>
      <x:c r="I21" s="28" t="n">
        <x:f>COUNTIFS('세부작업체크'!$A$5:$A$277,F21,'세부작업체크'!$N$5:$N$277,"차단")</x:f>
        <x:v>0</x:v>
      </x:c>
      <x:c r="J21" s="38" t="n">
        <x:f>IF(G21=0,0,H21/G21)</x:f>
        <x:v>0</x:v>
      </x:c>
    </x:row>
    <x:row r="22">
      <x:c r="A22"/>
      <x:c r="B22"/>
      <x:c r="C22"/>
      <x:c r="D22"/>
      <x:c r="E22"/>
      <x:c r="F22" s="28" t="str">
        <x:v>18일차</x:v>
      </x:c>
      <x:c r="G22" s="28" t="n">
        <x:v>13</x:v>
      </x:c>
      <x:c r="H22" s="28" t="n">
        <x:f>COUNTIFS('세부작업체크'!$A$5:$A$277,F22,'세부작업체크'!$N$5:$N$277,"완료")</x:f>
        <x:v>0</x:v>
      </x:c>
      <x:c r="I22" s="28" t="n">
        <x:f>COUNTIFS('세부작업체크'!$A$5:$A$277,F22,'세부작업체크'!$N$5:$N$277,"차단")</x:f>
        <x:v>0</x:v>
      </x:c>
      <x:c r="J22" s="38" t="n">
        <x:f>IF(G22=0,0,H22/G22)</x:f>
        <x:v>0</x:v>
      </x:c>
    </x:row>
    <x:row r="23">
      <x:c r="A23"/>
      <x:c r="B23"/>
      <x:c r="C23"/>
      <x:c r="D23"/>
      <x:c r="E23"/>
      <x:c r="F23" s="28" t="str">
        <x:v>19일차</x:v>
      </x:c>
      <x:c r="G23" s="28" t="n">
        <x:v>13</x:v>
      </x:c>
      <x:c r="H23" s="28" t="n">
        <x:f>COUNTIFS('세부작업체크'!$A$5:$A$277,F23,'세부작업체크'!$N$5:$N$277,"완료")</x:f>
        <x:v>0</x:v>
      </x:c>
      <x:c r="I23" s="28" t="n">
        <x:f>COUNTIFS('세부작업체크'!$A$5:$A$277,F23,'세부작업체크'!$N$5:$N$277,"차단")</x:f>
        <x:v>0</x:v>
      </x:c>
      <x:c r="J23" s="38" t="n">
        <x:f>IF(G23=0,0,H23/G23)</x:f>
        <x:v>0</x:v>
      </x:c>
    </x:row>
    <x:row r="24">
      <x:c r="A24"/>
      <x:c r="B24"/>
      <x:c r="C24"/>
      <x:c r="D24"/>
      <x:c r="E24"/>
      <x:c r="F24" s="28" t="str">
        <x:v>20일차</x:v>
      </x:c>
      <x:c r="G24" s="28" t="n">
        <x:v>13</x:v>
      </x:c>
      <x:c r="H24" s="28" t="n">
        <x:f>COUNTIFS('세부작업체크'!$A$5:$A$277,F24,'세부작업체크'!$N$5:$N$277,"완료")</x:f>
        <x:v>0</x:v>
      </x:c>
      <x:c r="I24" s="28" t="n">
        <x:f>COUNTIFS('세부작업체크'!$A$5:$A$277,F24,'세부작업체크'!$N$5:$N$277,"차단")</x:f>
        <x:v>0</x:v>
      </x:c>
      <x:c r="J24" s="38" t="n">
        <x:f>IF(G24=0,0,H24/G24)</x:f>
        <x:v>0</x:v>
      </x:c>
    </x:row>
    <x:row r="25">
      <x:c r="A25"/>
      <x:c r="B25"/>
      <x:c r="C25"/>
      <x:c r="D25"/>
      <x:c r="E25"/>
      <x:c r="F25" s="29" t="str">
        <x:v>21일차</x:v>
      </x:c>
      <x:c r="G25" s="29" t="n">
        <x:v>13</x:v>
      </x:c>
      <x:c r="H25" s="29" t="n">
        <x:f>COUNTIFS('세부작업체크'!$A$5:$A$277,F25,'세부작업체크'!$N$5:$N$277,"완료")</x:f>
        <x:v>0</x:v>
      </x:c>
      <x:c r="I25" s="29" t="n">
        <x:f>COUNTIFS('세부작업체크'!$A$5:$A$277,F25,'세부작업체크'!$N$5:$N$277,"차단")</x:f>
        <x:v>0</x:v>
      </x:c>
      <x:c r="J25" s="39" t="n">
        <x:f>IF(G25=0,0,H25/G25)</x:f>
        <x:v>0</x:v>
      </x:c>
    </x:row>
  </x:sheetData>
  <x:mergeCells>
    <x:mergeCell ref="A1:H1"/>
    <x:mergeCell ref="A2:H2"/>
  </x:mergeCells>
  <x:conditionalFormatting sqref="I5:I25">
    <x:cfRule type="containsText" dxfId="4" priority="1" operator="containsText" text="완료"/>
    <x:cfRule type="containsText" dxfId="5" priority="2" operator="containsText" text="진행 중"/>
    <x:cfRule type="containsText" dxfId="6" priority="3" operator="containsText" text="검토 대기"/>
    <x:cfRule type="containsText" dxfId="7" priority="4" operator="containsText" text="차단"/>
  </x:conditionalFormatting>
  <x:conditionalFormatting sqref="D5:D12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{94DA0CA6-D437-07A1-9911-E9F6D9811598}</x14:id>
        </x:ext>
      </x:extLst>
    </x:cfRule>
  </x:conditionalFormatting>
  <x:conditionalFormatting sqref="J5:J25">
    <x:cfRule type="dataBar" priority="6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{9E284F0D-7566-E604-BDDC-5C04669230D0}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94DA0CA6-D437-07A1-9911-E9F6D9811598}">
            <x14:dataBar gradient="1">
              <x14:cfvo type="min"/>
              <x14:cfvo type="max"/>
              <x14:fillColor rgb="FF5B9BD5"/>
            </x14:dataBar>
          </x14:cfRule>
          <xm:sqref>D5:D12</xm:sqref>
        </x14:conditionalFormatting>
        <x14:conditionalFormatting>
          <x14:cfRule type="dataBar" priority="6" id="{9E284F0D-7566-E604-BDDC-5C04669230D0}">
            <x14:dataBar gradient="1">
              <x14:cfvo type="min"/>
              <x14:cfvo type="max"/>
              <x14:fillColor rgb="FF70AD47"/>
            </x14:dataBar>
          </x14:cfRule>
          <xm:sqref>J5:J25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8.890000343322754" hidden="0" customWidth="1"/>
    <x:col min="3" max="3" width="12.220000267028809" hidden="0" customWidth="1"/>
    <x:col min="4" max="4" width="33.33000183105469" hidden="0" customWidth="1"/>
    <x:col min="5" max="5" width="28.889999389648438" hidden="0" customWidth="1"/>
    <x:col min="6" max="6" width="28.889999389648438" hidden="0" customWidth="1"/>
    <x:col min="7" max="7" width="26.670000076293945" hidden="0" customWidth="1"/>
    <x:col min="8" max="8" width="36.66999816894531" hidden="0" customWidth="1"/>
    <x:col min="9" max="9" width="10" hidden="0" customWidth="1"/>
    <x:col min="10" max="10" width="24.440000534057617" hidden="0" customWidth="1"/>
    <x:col min="11" max="11" width="23.329999923706055" hidden="0" customWidth="1"/>
    <x:col min="12" max="12" width="10" hidden="0" customWidth="1"/>
    <x:col min="13" max="13" width="8.890000343322754" hidden="0" customWidth="1"/>
  </x:cols>
  <x:sheetData>
    <x:row r="1" ht="30" customHeight="1">
      <x:c r="A1" s="5" t="str">
        <x:v>AI 커머스 운영 에이전트 · 21일 일일업무</x:v>
      </x:c>
      <x:c r="B1" s="5" t="str">
        <x:v>AI 커머스 운영 에이전트 · 21일 일일업무</x:v>
      </x:c>
      <x:c r="C1" s="5" t="str">
        <x:v>AI 커머스 운영 에이전트 · 21일 일일업무</x:v>
      </x:c>
      <x:c r="D1" s="5" t="str">
        <x:v>AI 커머스 운영 에이전트 · 21일 일일업무</x:v>
      </x:c>
      <x:c r="E1" s="5" t="str">
        <x:v>AI 커머스 운영 에이전트 · 21일 일일업무</x:v>
      </x:c>
      <x:c r="F1" s="5" t="str">
        <x:v>AI 커머스 운영 에이전트 · 21일 일일업무</x:v>
      </x:c>
      <x:c r="G1" s="5" t="str">
        <x:v>AI 커머스 운영 에이전트 · 21일 일일업무</x:v>
      </x:c>
      <x:c r="H1" s="5" t="str">
        <x:v>AI 커머스 운영 에이전트 · 21일 일일업무</x:v>
      </x:c>
      <x:c r="I1" s="5" t="str">
        <x:v>AI 커머스 운영 에이전트 · 21일 일일업무</x:v>
      </x:c>
      <x:c r="J1" s="5" t="str">
        <x:v>AI 커머스 운영 에이전트 · 21일 일일업무</x:v>
      </x:c>
      <x:c r="K1" s="5" t="str">
        <x:v>AI 커머스 운영 에이전트 · 21일 일일업무</x:v>
      </x:c>
      <x:c r="L1" s="5" t="str">
        <x:v>AI 커머스 운영 에이전트 · 21일 일일업무</x:v>
      </x:c>
      <x:c r="M1" s="5" t="str">
        <x:v>AI 커머스 운영 에이전트 · 21일 일일업무</x:v>
      </x:c>
    </x:row>
    <x:row r="2" ht="28" customHeight="1">
      <x:c r="A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B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C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D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E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F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G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H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I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J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K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L2" s="10" t="str">
        <x:v>큰 목표를 보는 시트입니다. 실제 코딩은 ‘세부작업체크’에서 오늘 일차와 트랙을 필터링해 진행합니다. 통합 확인일은 4·8·12·16·20일차, 최종 확인은 21일차입니다.</x:v>
      </x:c>
      <x:c r="M2" s="10" t="str">
        <x:v>큰 목표를 보는 시트입니다. 실제 코딩은 ‘세부작업체크’에서 오늘 일차와 트랙을 필터링해 진행합니다. 통합 확인일은 4·8·12·16·20일차, 최종 확인은 21일차입니다.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32" customHeight="1">
      <x:c r="A4" s="16" t="str">
        <x:v>일차</x:v>
      </x:c>
      <x:c r="B4" s="16" t="str">
        <x:v>개발주기</x:v>
      </x:c>
      <x:c r="C4" s="16" t="str">
        <x:v>작업모드</x:v>
      </x:c>
      <x:c r="D4" s="16" t="str">
        <x:v>오늘 큰 목표</x:v>
      </x:c>
      <x:c r="E4" s="16" t="str">
        <x:v>AI·ML 목표</x:v>
      </x:c>
      <x:c r="F4" s="16" t="str">
        <x:v>백엔드·데이터 목표</x:v>
      </x:c>
      <x:c r="G4" s="16" t="str">
        <x:v>프론트엔드·제품 목표</x:v>
      </x:c>
      <x:c r="H4" s="16" t="str">
        <x:v>오늘 완료조건</x:v>
      </x:c>
      <x:c r="I4" s="16" t="str">
        <x:v>통합 확인일</x:v>
      </x:c>
      <x:c r="J4" s="16" t="str">
        <x:v>먼저 읽을 문서</x:v>
      </x:c>
      <x:c r="K4" s="16" t="str">
        <x:v>필수 완료 증거</x:v>
      </x:c>
      <x:c r="L4" s="16" t="str">
        <x:v>상태</x:v>
      </x:c>
      <x:c r="M4" s="16" t="str">
        <x:v>완료율</x:v>
      </x:c>
    </x:row>
    <x:row r="5" ht="74" customHeight="1">
      <x:c r="A5" s="27" t="str">
        <x:v>1일차</x:v>
      </x:c>
      <x:c r="B5" s="27" t="str">
        <x:v>1주기</x:v>
      </x:c>
      <x:c r="C5" s="27" t="str">
        <x:v>착수·계약 고정</x:v>
      </x:c>
      <x:c r="D5" s="27" t="str">
        <x:v>안전 경계와 공동 계약을 먼저 고정하고 세 트랙이 Mock으로 독립 실행 가능한 골격을 만든다.</x:v>
      </x:c>
      <x:c r="E5" s="27" t="str">
        <x:v>AI 업무 분해·평가틀·모델 선택 계약 v0.1</x:v>
      </x:c>
      <x:c r="F5" s="27" t="str">
        <x:v>저장소·환경·Event/API·안전 골격</x:v>
      </x:c>
      <x:c r="G5" s="27" t="str">
        <x:v>Figma AI 디자인 계약·화면 골격·Mock 연결</x:v>
      </x:c>
      <x:c r="H5" s="27" t="str">
        <x:v>저장소가 실행되고 Event/API/AI 계약 v0.1과 Production 읽기 전용 차단 테스트가 존재하며 세 트랙 Mock이 각각 단독 실행된다.</x:v>
      </x:c>
      <x:c r="I5" s="27" t="str">
        <x:v>아니오</x:v>
      </x:c>
      <x:c r="J5" s="27" t="str">
        <x:v>00 사용안내, 01 종합기획, 05 데이터·API, 06 운영안전</x:v>
      </x:c>
      <x:c r="K5" s="27" t="str">
        <x:v>로그·결과 JSON·시험보고서·스크린샷 경로</x:v>
      </x:c>
      <x:c r="L5" s="27" t="str">
        <x:v>완료</x:v>
      </x:c>
      <x:c r="M5" s="37" t="n">
        <x:f>IF(COUNTIF('세부작업체크'!$A$5:$A$277,A5)=0,0,COUNTIFS('세부작업체크'!$A$5:$A$277,A5,'세부작업체크'!$N$5:$N$277,"완료")/COUNTIF('세부작업체크'!$A$5:$A$277,A5))</x:f>
        <x:v>1</x:v>
      </x:c>
    </x:row>
    <x:row r="6" ht="74" customHeight="1">
      <x:c r="A6" s="28" t="str">
        <x:v>2일차</x:v>
      </x:c>
      <x:c r="B6" s="28" t="str">
        <x:v>1주기</x:v>
      </x:c>
      <x:c r="C6" s="28" t="str">
        <x:v>데이터·합성환경</x:v>
      </x:c>
      <x:c r="D6" s="28" t="str">
        <x:v>표준 데이터 모델과 공개 가능한 합성 데이터 기반을 만든다.</x:v>
      </x:c>
      <x:c r="E6" s="28" t="str">
        <x:v>데이터 분류체계·PII 제거·분할 규칙</x:v>
      </x:c>
      <x:c r="F6" s="28" t="str">
        <x:v>DB 핵심 테이블·migration·seed</x:v>
      </x:c>
      <x:c r="G6" s="28" t="str">
        <x:v>공통 상태·오류·근거 컴포넌트</x:v>
      </x:c>
      <x:c r="H6" s="28" t="str">
        <x:v>DB migration, 6개 핵심 시나리오 seed, PII 탐지·제거 테스트, 화면 상태 컴포넌트가 재현된다.</x:v>
      </x:c>
      <x:c r="I6" s="28" t="str">
        <x:v>아니오</x:v>
      </x:c>
      <x:c r="J6" s="28" t="str">
        <x:v>02 요구사항, 05 데이터·API, 09 테스트·평가</x:v>
      </x:c>
      <x:c r="K6" s="28" t="str">
        <x:v>로그·결과 JSON·시험보고서·스크린샷 경로</x:v>
      </x:c>
      <x:c r="L6" s="28" t="str">
        <x:v>완료</x:v>
      </x:c>
      <x:c r="M6" s="38" t="n">
        <x:f>IF(COUNTIF('세부작업체크'!$A$5:$A$277,A6)=0,0,COUNTIFS('세부작업체크'!$A$5:$A$277,A6,'세부작업체크'!$N$5:$N$277,"완료")/COUNTIF('세부작업체크'!$A$5:$A$277,A6))</x:f>
        <x:v>1</x:v>
      </x:c>
    </x:row>
    <x:row r="7" ht="74" customHeight="1">
      <x:c r="A7" s="28" t="str">
        <x:v>3일차</x:v>
      </x:c>
      <x:c r="B7" s="28" t="str">
        <x:v>1주기</x:v>
      </x:c>
      <x:c r="C7" s="28" t="str">
        <x:v>기준선 구현</x:v>
      </x:c>
      <x:c r="D7" s="28" t="str">
        <x:v>프롬프트 기준선과 Provider 계약 테스트를 만들고 첫 Mock E2E를 준비한다.</x:v>
      </x:c>
      <x:c r="E7" s="28" t="str">
        <x:v>프롬프트 기준선·평가 실행기</x:v>
      </x:c>
      <x:c r="F7" s="28" t="str">
        <x:v>Provider 인터페이스·중복방지·수집 Worker</x:v>
      </x:c>
      <x:c r="G7" s="28" t="str">
        <x:v>홈 현황판 Mock vertical slice</x:v>
      </x:c>
      <x:c r="H7" s="28" t="str">
        <x:v>프롬프트 3개 방식의 기준 결과, Provider 계약 테스트, 홈 화면 fixture가 모두 독립 실행된다.</x:v>
      </x:c>
      <x:c r="I7" s="28" t="str">
        <x:v>아니오</x:v>
      </x:c>
      <x:c r="J7" s="28" t="str">
        <x:v>04 AI 설계 §4, 05 API, 07 화면, 09 평가</x:v>
      </x:c>
      <x:c r="K7" s="28" t="str">
        <x:v>로그·결과 JSON·시험보고서·스크린샷 경로</x:v>
      </x:c>
      <x:c r="L7" s="28" t="str">
        <x:v>완료</x:v>
      </x:c>
      <x:c r="M7" s="38" t="n">
        <x:f>IF(COUNTIF('세부작업체크'!$A$5:$A$277,A7)=0,0,COUNTIFS('세부작업체크'!$A$5:$A$277,A7,'세부작업체크'!$N$5:$N$277,"완료")/COUNTIF('세부작업체크'!$A$5:$A$277,A7))</x:f>
        <x:v>1</x:v>
      </x:c>
    </x:row>
    <x:row r="8" ht="74" customHeight="1">
      <x:c r="A8" s="40" t="str">
        <x:v>4일차</x:v>
      </x:c>
      <x:c r="B8" s="40" t="str">
        <x:v>1주기</x:v>
      </x:c>
      <x:c r="C8" s="40" t="str">
        <x:v>통합 확인 1</x:v>
      </x:c>
      <x:c r="D8" s="40" t="str">
        <x:v>세 트랙의 첫 Mock E2E와 안전 경계를 함께 검증한다.</x:v>
      </x:c>
      <x:c r="E8" s="40" t="str">
        <x:v>프롬프트 기준선 판정·Mock AI 연결</x:v>
      </x:c>
      <x:c r="F8" s="40" t="str">
        <x:v>Mock 수집→API E2E·안전 차단</x:v>
      </x:c>
      <x:c r="G8" s="40" t="str">
        <x:v>첫 사용자 흐름·오류상태 검증</x:v>
      </x:c>
      <x:c r="H8" s="40" t="str">
        <x:v>Demo 이벤트가 수집→정규화 Mock→위험 Mock→화면으로 이어지고, Production 쓰기 호출은 0회이며 결함 목록이 갱신된다.</x:v>
      </x:c>
      <x:c r="I8" s="40" t="str">
        <x:v>예</x:v>
      </x:c>
      <x:c r="J8" s="40" t="str">
        <x:v>03 아키텍처, 05 API, 06 안전, 09 Day 4</x:v>
      </x:c>
      <x:c r="K8" s="40" t="str">
        <x:v>로그·결과 JSON·시험보고서·스크린샷 경로</x:v>
      </x:c>
      <x:c r="L8" s="40" t="str">
        <x:v>미착수</x:v>
      </x:c>
      <x:c r="M8" s="41" t="n">
        <x:f>IF(COUNTIF('세부작업체크'!$A$5:$A$277,A8)=0,0,COUNTIFS('세부작업체크'!$A$5:$A$277,A8,'세부작업체크'!$N$5:$N$277,"완료")/COUNTIF('세부작업체크'!$A$5:$A$277,A8))</x:f>
        <x:v>0</x:v>
      </x:c>
    </x:row>
    <x:row r="9" ht="74" customHeight="1">
      <x:c r="A9" s="28" t="str">
        <x:v>5일차</x:v>
      </x:c>
      <x:c r="B9" s="28" t="str">
        <x:v>2주기</x:v>
      </x:c>
      <x:c r="C9" s="28" t="str">
        <x:v>Cafe24 실제 Read 어댑터·검색설계</x:v>
      </x:c>
      <x:c r="D9" s="28" t="str">
        <x:v>공식 근거로 Cafe24 읽기 범위를 확정하고 실제 데이터를 변경 없이 가져오는 어댑터를 구현한다.</x:v>
      </x:c>
      <x:c r="E9" s="28" t="str">
        <x:v>RAG 문서유형·metadata·질문셋</x:v>
      </x:c>
      <x:c r="F9" s="28" t="str">
        <x:v>Cafe24 capability 확정·실제 Read Adapter·보호 저장</x:v>
      </x:c>
      <x:c r="G9" s="28" t="str">
        <x:v>재고 목록·최신성·mapping 상태</x:v>
      </x:c>
      <x:c r="H9" s="28" t="str">
        <x:v>Cafe24 결정기록, 실제 Read Adapter, 비식별 staging, 제한된 smoke 증거와 RAG corpus manifest가 있다.</x:v>
      </x:c>
      <x:c r="I9" s="28" t="str">
        <x:v>아니오</x:v>
      </x:c>
      <x:c r="J9" s="28" t="str">
        <x:v>03 §6, 04 §5, 05 §6, 06 §4</x:v>
      </x:c>
      <x:c r="K9" s="28" t="str">
        <x:v>로그·결과 JSON·시험보고서·스크린샷 경로</x:v>
      </x:c>
      <x:c r="L9" s="28" t="str">
        <x:v>미착수</x:v>
      </x:c>
      <x:c r="M9" s="38" t="n">
        <x:f>IF(COUNTIF('세부작업체크'!$A$5:$A$277,A9)=0,0,COUNTIFS('세부작업체크'!$A$5:$A$277,A9,'세부작업체크'!$N$5:$N$277,"완료")/COUNTIF('세부작업체크'!$A$5:$A$277,A9))</x:f>
        <x:v>0</x:v>
      </x:c>
    </x:row>
    <x:row r="10" ht="74" customHeight="1">
      <x:c r="A10" s="28" t="str">
        <x:v>6일차</x:v>
      </x:c>
      <x:c r="B10" s="28" t="str">
        <x:v>2주기</x:v>
      </x:c>
      <x:c r="C10" s="28" t="str">
        <x:v>Toss·eCount 수집방식 확정·분할실험</x:v>
      </x:c>
      <x:c r="D10" s="28" t="str">
        <x:v>Toss POS와 eCount의 실제 가용 방식을 확정하고 API 또는 파일 Importer를 같은 계약으로 구현한다.</x:v>
      </x:c>
      <x:c r="E10" s="28" t="str">
        <x:v>Chunking A/B와 중복 제거</x:v>
      </x:c>
      <x:c r="F10" s="28" t="str">
        <x:v>Toss·eCount 결정기록·Adapter/Importer·정규화</x:v>
      </x:c>
      <x:c r="G10" s="28" t="str">
        <x:v>상품연결 검토·최신성 UX</x:v>
      </x:c>
      <x:c r="H10" s="28" t="str">
        <x:v>두 Provider의 결정기록·Adapter/Importer·정규화 매핑표와 Chunking 비교결과가 각각 독립 검증된다.</x:v>
      </x:c>
      <x:c r="I10" s="28" t="str">
        <x:v>아니오</x:v>
      </x:c>
      <x:c r="J10" s="28" t="str">
        <x:v>03 §6, 04 §5.2~3, 05 §6, 06 §4, 09 §5.2</x:v>
      </x:c>
      <x:c r="K10" s="28" t="str">
        <x:v>로그·결과 JSON·시험보고서·스크린샷 경로</x:v>
      </x:c>
      <x:c r="L10" s="28" t="str">
        <x:v>미착수</x:v>
      </x:c>
      <x:c r="M10" s="38" t="n">
        <x:f>IF(COUNTIF('세부작업체크'!$A$5:$A$277,A10)=0,0,COUNTIFS('세부작업체크'!$A$5:$A$277,A10,'세부작업체크'!$N$5:$N$277,"완료")/COUNTIF('세부작업체크'!$A$5:$A$277,A10))</x:f>
        <x:v>0</x:v>
      </x:c>
    </x:row>
    <x:row r="11" ht="74" customHeight="1">
      <x:c r="A11" s="28" t="str">
        <x:v>7일차</x:v>
      </x:c>
      <x:c r="B11" s="28" t="str">
        <x:v>2주기</x:v>
      </x:c>
      <x:c r="C11" s="28" t="str">
        <x:v>검색 기준선·재고원장</x:v>
      </x:c>
      <x:c r="D11" s="28" t="str">
        <x:v>BM25와 Dense 검색 기준선을 만들고 예상 통합재고 원장을 구현한다.</x:v>
      </x:c>
      <x:c r="E11" s="28" t="str">
        <x:v>BM25·Dense 기준선</x:v>
      </x:c>
      <x:c r="F11" s="28" t="str">
        <x:v>증분 동기화 제어·중복복구·Shadow inventory</x:v>
      </x:c>
      <x:c r="G11" s="28" t="str">
        <x:v>문의 분류·근거 Draft 화면 골격</x:v>
      </x:c>
      <x:c r="H11" s="28" t="str">
        <x:v>BM25/Vector의 같은 Golden Set 결과와 중복 이벤트에 안전한 재고 원장, 문의 화면 골격이 있다.</x:v>
      </x:c>
      <x:c r="I11" s="28" t="str">
        <x:v>아니오</x:v>
      </x:c>
      <x:c r="J11" s="28" t="str">
        <x:v>04 §5.4~5, 05 §2, 07 §7</x:v>
      </x:c>
      <x:c r="K11" s="28" t="str">
        <x:v>로그·결과 JSON·시험보고서·스크린샷 경로</x:v>
      </x:c>
      <x:c r="L11" s="28" t="str">
        <x:v>미착수</x:v>
      </x:c>
      <x:c r="M11" s="38" t="n">
        <x:f>IF(COUNTIF('세부작업체크'!$A$5:$A$277,A11)=0,0,COUNTIFS('세부작업체크'!$A$5:$A$277,A11,'세부작업체크'!$N$5:$N$277,"완료")/COUNTIF('세부작업체크'!$A$5:$A$277,A11))</x:f>
        <x:v>0</x:v>
      </x:c>
    </x:row>
    <x:row r="12" ht="74" customHeight="1">
      <x:c r="A12" s="40" t="str">
        <x:v>8일차</x:v>
      </x:c>
      <x:c r="B12" s="40" t="str">
        <x:v>2주기</x:v>
      </x:c>
      <x:c r="C12" s="40" t="str">
        <x:v>통합 확인 2·실제 Read 검증</x:v>
      </x:c>
      <x:c r="D12" s="40" t="str">
        <x:v>선택한 실제 API/파일 경로와 증분 동기화, 정규화, 재고 원장, 검색 기준선을 읽기 전용으로 통합한다.</x:v>
      </x:c>
      <x:c r="E12" s="40" t="str">
        <x:v>검색 기준선 API 통합·평가 snapshot</x:v>
      </x:c>
      <x:c r="F12" s="40" t="str">
        <x:v>Provider 선택 경로→Shadow inventory 실제 Read 통합</x:v>
      </x:c>
      <x:c r="G12" s="40" t="str">
        <x:v>재고 위험 vertical slice</x:v>
      </x:c>
      <x:c r="H12" s="40" t="str">
        <x:v>Provider별 선택 경로가 계약을 통과하고, 허용된 실제 Read 또는 보호된 Import 증거·cursor 재개·중복/429/부분실패·원본 무변경·BM25/Vector trace가 있으며 D04-FE-INTEGRATION-001을 재검수한다.</x:v>
      </x:c>
      <x:c r="I12" s="40" t="str">
        <x:v>예</x:v>
      </x:c>
      <x:c r="J12" s="40" t="str">
        <x:v>03 §5~6, 05 §6, 06 §4·13, 09 Day 8, 04 RAG</x:v>
      </x:c>
      <x:c r="K12" s="40" t="str">
        <x:v>로그·결과 JSON·시험보고서·스크린샷 경로</x:v>
      </x:c>
      <x:c r="L12" s="40" t="str">
        <x:v>미착수</x:v>
      </x:c>
      <x:c r="M12" s="41" t="n">
        <x:f>IF(COUNTIF('세부작업체크'!$A$5:$A$277,A12)=0,0,COUNTIFS('세부작업체크'!$A$5:$A$277,A12,'세부작업체크'!$N$5:$N$277,"완료")/COUNTIF('세부작업체크'!$A$5:$A$277,A12))</x:f>
        <x:v>0</x:v>
      </x:c>
    </x:row>
    <x:row r="13" ht="74" customHeight="1">
      <x:c r="A13" s="28" t="str">
        <x:v>9일차</x:v>
      </x:c>
      <x:c r="B13" s="28" t="str">
        <x:v>3주기</x:v>
      </x:c>
      <x:c r="C13" s="28" t="str">
        <x:v>Hybrid·예약주문</x:v>
      </x:c>
      <x:c r="D13" s="28" t="str">
        <x:v>Hybrid 검색과 예약주문 부족 계산을 구현한다.</x:v>
      </x:c>
      <x:c r="E13" s="28" t="str">
        <x:v>Hybrid search·query preprocessing</x:v>
      </x:c>
      <x:c r="F13" s="28" t="str">
        <x:v>예약주문 부족·상태·Task</x:v>
      </x:c>
      <x:c r="G13" s="28" t="str">
        <x:v>예약 부족 화면</x:v>
      </x:c>
      <x:c r="H13" s="28" t="str">
        <x:v>BM25+Vector 후보와 예약 부족수량·aging Task, 관련 UI가 독립 검증된다.</x:v>
      </x:c>
      <x:c r="I13" s="28" t="str">
        <x:v>아니오</x:v>
      </x:c>
      <x:c r="J13" s="28" t="str">
        <x:v>04 §5.4~5, 02 예약주문, 07 §5</x:v>
      </x:c>
      <x:c r="K13" s="28" t="str">
        <x:v>로그·결과 JSON·시험보고서·스크린샷 경로</x:v>
      </x:c>
      <x:c r="L13" s="28" t="str">
        <x:v>미착수</x:v>
      </x:c>
      <x:c r="M13" s="38" t="n">
        <x:f>IF(COUNTIF('세부작업체크'!$A$5:$A$277,A13)=0,0,COUNTIFS('세부작업체크'!$A$5:$A$277,A13,'세부작업체크'!$N$5:$N$277,"완료")/COUNTIF('세부작업체크'!$A$5:$A$277,A13))</x:f>
        <x:v>0</x:v>
      </x:c>
    </x:row>
    <x:row r="14" ht="74" customHeight="1">
      <x:c r="A14" s="28" t="str">
        <x:v>10일차</x:v>
      </x:c>
      <x:c r="B14" s="28" t="str">
        <x:v>3주기</x:v>
      </x:c>
      <x:c r="C14" s="28" t="str">
        <x:v>Reranker·출시일정</x:v>
      </x:c>
      <x:c r="D14" s="28" t="str">
        <x:v>Reranker와 검색어 확장을 평가하고 출시일 역산·지연 재계획을 구현한다.</x:v>
      </x:c>
      <x:c r="E14" s="28" t="str">
        <x:v>query rewrite·multi-query·reranker·Top-K</x:v>
      </x:c>
      <x:c r="F14" s="28" t="str">
        <x:v>출시·입고 일정 엔진</x:v>
      </x:c>
      <x:c r="G14" s="28" t="str">
        <x:v>운영일정·영향·재계획 UI</x:v>
      </x:c>
      <x:c r="H14" s="28" t="str">
        <x:v>Hybrid+Reranker 실험, Flow A/B 일정 생성, 운영일정 화면이 각각 통과한다.</x:v>
      </x:c>
      <x:c r="I14" s="28" t="str">
        <x:v>아니오</x:v>
      </x:c>
      <x:c r="J14" s="28" t="str">
        <x:v>04 §5.4~5, 02 출시일정, 07 §8</x:v>
      </x:c>
      <x:c r="K14" s="28" t="str">
        <x:v>로그·결과 JSON·시험보고서·스크린샷 경로</x:v>
      </x:c>
      <x:c r="L14" s="28" t="str">
        <x:v>미착수</x:v>
      </x:c>
      <x:c r="M14" s="38" t="n">
        <x:f>IF(COUNTIF('세부작업체크'!$A$5:$A$277,A14)=0,0,COUNTIFS('세부작업체크'!$A$5:$A$277,A14,'세부작업체크'!$N$5:$N$277,"완료")/COUNTIF('세부작업체크'!$A$5:$A$277,A14))</x:f>
        <x:v>0</x:v>
      </x:c>
    </x:row>
    <x:row r="15" ht="74" customHeight="1">
      <x:c r="A15" s="28" t="str">
        <x:v>11일차</x:v>
      </x:c>
      <x:c r="B15" s="28" t="str">
        <x:v>3주기</x:v>
      </x:c>
      <x:c r="C15" s="28" t="str">
        <x:v>QLoRA 준비·우선순위</x:v>
      </x:c>
      <x:c r="D15" s="28" t="str">
        <x:v>QLoRA 학습 가능한 데이터와 기준모델을 고정하고 오늘 할 일 우선순위 기반을 만든다.</x:v>
      </x:c>
      <x:c r="E15" s="28" t="str">
        <x:v>QLoRA 데이터·Base·API 기준선</x:v>
      </x:c>
      <x:c r="F15" s="28" t="str">
        <x:v>오늘 할 일 규칙 우선순위·Task API</x:v>
      </x:c>
      <x:c r="G15" s="28" t="str">
        <x:v>오늘 할 일·우선순위 설명</x:v>
      </x:c>
      <x:c r="H15" s="28" t="str">
        <x:v>학습 manifest·Base/API baseline·학습 config grid와 규칙 기반 우선순위 결과가 재현된다.</x:v>
      </x:c>
      <x:c r="I15" s="28" t="str">
        <x:v>아니오</x:v>
      </x:c>
      <x:c r="J15" s="28" t="str">
        <x:v>04 §7, 04 §10~11, 09 §5.3</x:v>
      </x:c>
      <x:c r="K15" s="28" t="str">
        <x:v>로그·결과 JSON·시험보고서·스크린샷 경로</x:v>
      </x:c>
      <x:c r="L15" s="28" t="str">
        <x:v>미착수</x:v>
      </x:c>
      <x:c r="M15" s="38" t="n">
        <x:f>IF(COUNTIF('세부작업체크'!$A$5:$A$277,A15)=0,0,COUNTIFS('세부작업체크'!$A$5:$A$277,A15,'세부작업체크'!$N$5:$N$277,"완료")/COUNTIF('세부작업체크'!$A$5:$A$277,A15))</x:f>
        <x:v>0</x:v>
      </x:c>
    </x:row>
    <x:row r="16" ht="74" customHeight="1">
      <x:c r="A16" s="40" t="str">
        <x:v>12일차</x:v>
      </x:c>
      <x:c r="B16" s="40" t="str">
        <x:v>3주기</x:v>
      </x:c>
      <x:c r="C16" s="40" t="str">
        <x:v>통합 확인 3</x:v>
      </x:c>
      <x:c r="D16" s="40" t="str">
        <x:v>Hybrid RAG, 예약·일정 엔진, 문의 Draft를 통합하고 안전·근거를 확인한다.</x:v>
      </x:c>
      <x:c r="E16" s="40" t="str">
        <x:v>RAG 최종후보·답변초안·실패 fallback</x:v>
      </x:c>
      <x:c r="F16" s="40" t="str">
        <x:v>예약·일정·RAG 통합 API</x:v>
      </x:c>
      <x:c r="G16" s="40" t="str">
        <x:v>예약·재계획·문의 3흐름 E2E</x:v>
      </x:c>
      <x:c r="H16" s="40" t="str">
        <x:v>예약부족·입고지연·근거있는 문의답변 3개 시나리오가 통과하고 RAG 방식 채택안이 기록되며 D04-CONTRACT-002/003의 Projection·provenance를 재검수한다.</x:v>
      </x:c>
      <x:c r="I16" s="40" t="str">
        <x:v>예</x:v>
      </x:c>
      <x:c r="J16" s="40" t="str">
        <x:v>04 RAG, 06 안전, 09 Day 12</x:v>
      </x:c>
      <x:c r="K16" s="40" t="str">
        <x:v>로그·결과 JSON·시험보고서·스크린샷 경로</x:v>
      </x:c>
      <x:c r="L16" s="40" t="str">
        <x:v>미착수</x:v>
      </x:c>
      <x:c r="M16" s="41" t="n">
        <x:f>IF(COUNTIF('세부작업체크'!$A$5:$A$277,A16)=0,0,COUNTIFS('세부작업체크'!$A$5:$A$277,A16,'세부작업체크'!$N$5:$N$277,"완료")/COUNTIF('세부작업체크'!$A$5:$A$277,A16))</x:f>
        <x:v>0</x:v>
      </x:c>
    </x:row>
    <x:row r="17" ht="74" customHeight="1">
      <x:c r="A17" s="28" t="str">
        <x:v>13일차</x:v>
      </x:c>
      <x:c r="B17" s="28" t="str">
        <x:v>4주기</x:v>
      </x:c>
      <x:c r="C17" s="28" t="str">
        <x:v>QLoRA 학습·상품관계</x:v>
      </x:c>
      <x:c r="D17" s="28" t="str">
        <x:v>QLoRA 후보를 학습·비교하고 상품관계 데이터를 구현한다.</x:v>
      </x:c>
      <x:c r="E17" s="28" t="str">
        <x:v>QLoRA 학습·checkpoint 평가</x:v>
      </x:c>
      <x:c r="F17" s="28" t="str">
        <x:v>상품관계·문의·반품 신호</x:v>
      </x:c>
      <x:c r="G17" s="28" t="str">
        <x:v>상품관계·이상신호 화면</x:v>
      </x:c>
      <x:c r="H17" s="28" t="str">
        <x:v>최소 3개 checkpoint 평가와 relation CRUD가 아닌 검증·projection 로직, 관계 화면이 있다.</x:v>
      </x:c>
      <x:c r="I17" s="28" t="str">
        <x:v>아니오</x:v>
      </x:c>
      <x:c r="J17" s="28" t="str">
        <x:v>04 §7~8, 05 관계모델, 09 §5.3~4</x:v>
      </x:c>
      <x:c r="K17" s="28" t="str">
        <x:v>로그·결과 JSON·시험보고서·스크린샷 경로</x:v>
      </x:c>
      <x:c r="L17" s="28" t="str">
        <x:v>미착수</x:v>
      </x:c>
      <x:c r="M17" s="38" t="n">
        <x:f>IF(COUNTIF('세부작업체크'!$A$5:$A$277,A17)=0,0,COUNTIFS('세부작업체크'!$A$5:$A$277,A17,'세부작업체크'!$N$5:$N$277,"완료")/COUNTIF('세부작업체크'!$A$5:$A$277,A17))</x:f>
        <x:v>0</x:v>
      </x:c>
    </x:row>
    <x:row r="18" ht="74" customHeight="1">
      <x:c r="A18" s="28" t="str">
        <x:v>14일차</x:v>
      </x:c>
      <x:c r="B18" s="28" t="str">
        <x:v>4주기</x:v>
      </x:c>
      <x:c r="C18" s="28" t="str">
        <x:v>그래프 비교</x:v>
      </x:c>
      <x:c r="D18" s="28" t="str">
        <x:v>그래프가 필요한 질문만 분리하고 SQL/RAG와 비교한다.</x:v>
      </x:c>
      <x:c r="E18" s="28" t="str">
        <x:v>GraphRAG 필요성 검증</x:v>
      </x:c>
      <x:c r="F18" s="28" t="str">
        <x:v>graph projection·relation API 안정화</x:v>
      </x:c>
      <x:c r="G18" s="28" t="str">
        <x:v>그래프 경로를 이해 가능한 근거로 표시</x:v>
      </x:c>
      <x:c r="H18" s="28" t="str">
        <x:v>Graph schema·traversal·Graph+Vector 후보와 SQL/RAG 대비 결과가 수치와 오류분석으로 남는다.</x:v>
      </x:c>
      <x:c r="I18" s="28" t="str">
        <x:v>아니오</x:v>
      </x:c>
      <x:c r="J18" s="28" t="str">
        <x:v>04 §8, 09 §5.4</x:v>
      </x:c>
      <x:c r="K18" s="28" t="str">
        <x:v>로그·결과 JSON·시험보고서·스크린샷 경로</x:v>
      </x:c>
      <x:c r="L18" s="28" t="str">
        <x:v>미착수</x:v>
      </x:c>
      <x:c r="M18" s="38" t="n">
        <x:f>IF(COUNTIF('세부작업체크'!$A$5:$A$277,A18)=0,0,COUNTIFS('세부작업체크'!$A$5:$A$277,A18,'세부작업체크'!$N$5:$N$277,"완료")/COUNTIF('세부작업체크'!$A$5:$A$277,A18))</x:f>
        <x:v>0</x:v>
      </x:c>
    </x:row>
    <x:row r="19" ht="74" customHeight="1">
      <x:c r="A19" s="28" t="str">
        <x:v>15일차</x:v>
      </x:c>
      <x:c r="B19" s="28" t="str">
        <x:v>4주기</x:v>
      </x:c>
      <x:c r="C19" s="28" t="str">
        <x:v>메모리·에이전트 상태</x:v>
      </x:c>
      <x:c r="D19" s="28" t="str">
        <x:v>전체 대화를 반복 전송하지 않는 선택적 메모리와 명시적 에이전트 상태를 구현한다.</x:v>
      </x:c>
      <x:c r="E19" s="28" t="str">
        <x:v>Selective memory 비교</x:v>
      </x:c>
      <x:c r="F19" s="28" t="str">
        <x:v>Agent run·checkpoint·audit 저장</x:v>
      </x:c>
      <x:c r="G19" s="28" t="str">
        <x:v>대화 상태·재개·비용 UX</x:v>
      </x:c>
      <x:c r="H19" s="28" t="str">
        <x:v>full context와 selective memory 비교 기준선, checkpoint/resume 가능한 상태 저장, 대화 trace UI가 있다.</x:v>
      </x:c>
      <x:c r="I19" s="28" t="str">
        <x:v>아니오</x:v>
      </x:c>
      <x:c r="J19" s="28" t="str">
        <x:v>04 §6·9, 05 §8, 09 §5.5~6</x:v>
      </x:c>
      <x:c r="K19" s="28" t="str">
        <x:v>로그·결과 JSON·시험보고서·스크린샷 경로</x:v>
      </x:c>
      <x:c r="L19" s="28" t="str">
        <x:v>미착수</x:v>
      </x:c>
      <x:c r="M19" s="38" t="n">
        <x:f>IF(COUNTIF('세부작업체크'!$A$5:$A$277,A19)=0,0,COUNTIFS('세부작업체크'!$A$5:$A$277,A19,'세부작업체크'!$N$5:$N$277,"완료")/COUNTIF('세부작업체크'!$A$5:$A$277,A19))</x:f>
        <x:v>0</x:v>
      </x:c>
    </x:row>
    <x:row r="20" ht="74" customHeight="1">
      <x:c r="A20" s="40" t="str">
        <x:v>16일차</x:v>
      </x:c>
      <x:c r="B20" s="40" t="str">
        <x:v>4주기</x:v>
      </x:c>
      <x:c r="C20" s="40" t="str">
        <x:v>통합 확인 4</x:v>
      </x:c>
      <x:c r="D20" s="40" t="str">
        <x:v>Graph·Memory·Agent checkpoint를 운영 시나리오에 연결하고 실패 복구를 시험한다.</x:v>
      </x:c>
      <x:c r="E20" s="40" t="str">
        <x:v>Graph/Memory/Agent 통합 평가</x:v>
      </x:c>
      <x:c r="F20" s="40" t="str">
        <x:v>LangGraph runtime·resume·fallback 통합</x:v>
      </x:c>
      <x:c r="G20" s="40" t="str">
        <x:v>Agent trace·실패복구·관계문의 E2E</x:v>
      </x:c>
      <x:c r="H20" s="40" t="str">
        <x:v>관계문의와 3-turn 대화, 중단 후 resume, Graph fallback이 통과하고 불필요한 LLM 호출 수가 기록된다.</x:v>
      </x:c>
      <x:c r="I20" s="40" t="str">
        <x:v>예</x:v>
      </x:c>
      <x:c r="J20" s="40" t="str">
        <x:v>04 §6·8·9, 06, 09 Day 16</x:v>
      </x:c>
      <x:c r="K20" s="40" t="str">
        <x:v>로그·결과 JSON·시험보고서·스크린샷 경로</x:v>
      </x:c>
      <x:c r="L20" s="40" t="str">
        <x:v>미착수</x:v>
      </x:c>
      <x:c r="M20" s="41" t="n">
        <x:f>IF(COUNTIF('세부작업체크'!$A$5:$A$277,A20)=0,0,COUNTIFS('세부작업체크'!$A$5:$A$277,A20,'세부작업체크'!$N$5:$N$277,"완료")/COUNTIF('세부작업체크'!$A$5:$A$277,A20))</x:f>
        <x:v>0</x:v>
      </x:c>
    </x:row>
    <x:row r="21" ht="74" customHeight="1">
      <x:c r="A21" s="28" t="str">
        <x:v>17일차</x:v>
      </x:c>
      <x:c r="B21" s="28" t="str">
        <x:v>5주기</x:v>
      </x:c>
      <x:c r="C21" s="28" t="str">
        <x:v>운영지능·우선순위 실험</x:v>
      </x:c>
      <x:c r="D21" s="28" t="str">
        <x:v>운영 위험 탐지와 우선순위에서 규칙과 AI/Ranking을 비교한다.</x:v>
      </x:c>
      <x:c r="E21" s="28" t="str">
        <x:v>Rule vs AI/Ranking 우선순위·이상징후</x:v>
      </x:c>
      <x:c r="F21" s="28" t="str">
        <x:v>통합 Insight·Task 생성·오늘 할 일</x:v>
      </x:c>
      <x:c r="G21" s="28" t="str">
        <x:v>운영 통합현황·AI/규칙 구분</x:v>
      </x:c>
      <x:c r="H21" s="28" t="str">
        <x:v>재고·예약·일정·문의/반품 신호가 통합되고 Rule priority와 AI/Ranking 비교 결과가 있다.</x:v>
      </x:c>
      <x:c r="I21" s="28" t="str">
        <x:v>아니오</x:v>
      </x:c>
      <x:c r="J21" s="28" t="str">
        <x:v>04 §10, 02 P0, 09 AI 평가</x:v>
      </x:c>
      <x:c r="K21" s="28" t="str">
        <x:v>로그·결과 JSON·시험보고서·스크린샷 경로</x:v>
      </x:c>
      <x:c r="L21" s="28" t="str">
        <x:v>미착수</x:v>
      </x:c>
      <x:c r="M21" s="38" t="n">
        <x:f>IF(COUNTIF('세부작업체크'!$A$5:$A$277,A21)=0,0,COUNTIFS('세부작업체크'!$A$5:$A$277,A21,'세부작업체크'!$N$5:$N$277,"완료")/COUNTIF('세부작업체크'!$A$5:$A$277,A21))</x:f>
        <x:v>0</x:v>
      </x:c>
    </x:row>
    <x:row r="22" ht="74" customHeight="1">
      <x:c r="A22" s="28" t="str">
        <x:v>18일차</x:v>
      </x:c>
      <x:c r="B22" s="28" t="str">
        <x:v>5주기</x:v>
      </x:c>
      <x:c r="C22" s="28" t="str">
        <x:v>에이전트 안전·승인</x:v>
      </x:c>
      <x:c r="D22" s="28" t="str">
        <x:v>Agent의 조건분기·도구호출·사람승인·실패복구를 안전하게 완성한다.</x:v>
      </x:c>
      <x:c r="E22" s="28" t="str">
        <x:v>confidence routing·model routing·failure tests</x:v>
      </x:c>
      <x:c r="F22" s="28" t="str">
        <x:v>Approval·policy·tool gateway</x:v>
      </x:c>
      <x:c r="G22" s="28" t="str">
        <x:v>승인·차단·감사 UX</x:v>
      </x:c>
      <x:c r="H22" s="28" t="str">
        <x:v>안전 Gate, idempotent tool, timeout/retry/resume, human review failure matrix가 통과한다.</x:v>
      </x:c>
      <x:c r="I22" s="28" t="str">
        <x:v>아니오</x:v>
      </x:c>
      <x:c r="J22" s="28" t="str">
        <x:v>04 §9, 06 전체, 09 §5.6·8</x:v>
      </x:c>
      <x:c r="K22" s="28" t="str">
        <x:v>로그·결과 JSON·시험보고서·스크린샷 경로</x:v>
      </x:c>
      <x:c r="L22" s="28" t="str">
        <x:v>미착수</x:v>
      </x:c>
      <x:c r="M22" s="38" t="n">
        <x:f>IF(COUNTIF('세부작업체크'!$A$5:$A$277,A22)=0,0,COUNTIFS('세부작업체크'!$A$5:$A$277,A22,'세부작업체크'!$N$5:$N$277,"완료")/COUNTIF('세부작업체크'!$A$5:$A$277,A22))</x:f>
        <x:v>0</x:v>
      </x:c>
    </x:row>
    <x:row r="23" ht="74" customHeight="1">
      <x:c r="A23" s="28" t="str">
        <x:v>19일차</x:v>
      </x:c>
      <x:c r="B23" s="28" t="str">
        <x:v>5주기</x:v>
      </x:c>
      <x:c r="C23" s="28" t="str">
        <x:v>모델비용·관측성</x:v>
      </x:c>
      <x:c r="D23" s="28" t="str">
        <x:v>Large LLM only와 Model Router의 품질·비용·지연을 비교하고 전체 관측성을 완성한다.</x:v>
      </x:c>
      <x:c r="E23" s="28" t="str">
        <x:v>Model Router·token cost benchmark</x:v>
      </x:c>
      <x:c r="F23" s="28" t="str">
        <x:v>AI telemetry·비용예산·관측성</x:v>
      </x:c>
      <x:c r="G23" s="28" t="str">
        <x:v>AI 평가·비용 현황판</x:v>
      </x:c>
      <x:c r="H23" s="28" t="str">
        <x:v>Router benchmark와 cache hit·large call rate·평균 token·p95가 화면과 보고서에서 재현된다.</x:v>
      </x:c>
      <x:c r="I23" s="28" t="str">
        <x:v>아니오</x:v>
      </x:c>
      <x:c r="J23" s="28" t="str">
        <x:v>04 §11~12, 03 §9, 10 §11</x:v>
      </x:c>
      <x:c r="K23" s="28" t="str">
        <x:v>로그·결과 JSON·시험보고서·스크린샷 경로</x:v>
      </x:c>
      <x:c r="L23" s="28" t="str">
        <x:v>미착수</x:v>
      </x:c>
      <x:c r="M23" s="38" t="n">
        <x:f>IF(COUNTIF('세부작업체크'!$A$5:$A$277,A23)=0,0,COUNTIFS('세부작업체크'!$A$5:$A$277,A23,'세부작업체크'!$N$5:$N$277,"완료")/COUNTIF('세부작업체크'!$A$5:$A$277,A23))</x:f>
        <x:v>0</x:v>
      </x:c>
    </x:row>
    <x:row r="24" ht="74" customHeight="1">
      <x:c r="A24" s="40" t="str">
        <x:v>20일차</x:v>
      </x:c>
      <x:c r="B24" s="40" t="str">
        <x:v>5주기</x:v>
      </x:c>
      <x:c r="C24" s="40" t="str">
        <x:v>통합 확인 5</x:v>
      </x:c>
      <x:c r="D24" s="40" t="str">
        <x:v>전체 핵심 기능과 AI 실험을 한 Demo Candidate로 묶고 안전·장애·성능 회귀를 실행한다.</x:v>
      </x:c>
      <x:c r="E24" s="40" t="str">
        <x:v>전체 AI regression·결정 잠금</x:v>
      </x:c>
      <x:c r="F24" s="40" t="str">
        <x:v>6시나리오 E2E·safety/chaos/perf</x:v>
      </x:c>
      <x:c r="G24" s="40" t="str">
        <x:v>6시나리오 브라우저 E2E·접근성</x:v>
      </x:c>
      <x:c r="H24" s="40" t="str">
        <x:v>6개 데모 시나리오, P0 회귀, AI 평가, 안전/PII/쓰기 0회, 성능 기준이 모두 증거와 함께 판정된다.</x:v>
      </x:c>
      <x:c r="I24" s="40" t="str">
        <x:v>예</x:v>
      </x:c>
      <x:c r="J24" s="40" t="str">
        <x:v>06 안전, 09 Day 20, 10 데모 시나리오</x:v>
      </x:c>
      <x:c r="K24" s="40" t="str">
        <x:v>로그·결과 JSON·시험보고서·스크린샷 경로</x:v>
      </x:c>
      <x:c r="L24" s="40" t="str">
        <x:v>미착수</x:v>
      </x:c>
      <x:c r="M24" s="41" t="n">
        <x:f>IF(COUNTIF('세부작업체크'!$A$5:$A$277,A24)=0,0,COUNTIFS('세부작업체크'!$A$5:$A$277,A24,'세부작업체크'!$N$5:$N$277,"완료")/COUNTIF('세부작업체크'!$A$5:$A$277,A24))</x:f>
        <x:v>0</x:v>
      </x:c>
    </x:row>
    <x:row r="25" ht="74" customHeight="1">
      <x:c r="A25" s="42" t="str">
        <x:v>21일차</x:v>
      </x:c>
      <x:c r="B25" s="42" t="str">
        <x:v>최종</x:v>
      </x:c>
      <x:c r="C25" s="42" t="str">
        <x:v>최종 확인·배포</x:v>
      </x:c>
      <x:c r="D25" s="42" t="str">
        <x:v>재현 가능한 공개 포트폴리오와 21일 이후 Pilot 인계안을 완성한다.</x:v>
      </x:c>
      <x:c r="E25" s="42" t="str">
        <x:v>최종 AI report·model card·재현</x:v>
      </x:c>
      <x:c r="F25" s="42" t="str">
        <x:v>릴리스·배포·Pilot 안전 인계</x:v>
      </x:c>
      <x:c r="G25" s="42" t="str">
        <x:v>최종 Demo·사용안내·제출</x:v>
      </x:c>
      <x:c r="H25" s="42" t="str">
        <x:v>최종 시험·안전·문서·데모·배포 체크가 통과하고 실패 항목은 숨기지 않고 제한·owner·후속일정으로 기록된다.</x:v>
      </x:c>
      <x:c r="I25" s="42" t="str">
        <x:v>예</x:v>
      </x:c>
      <x:c r="J25" s="42" t="str">
        <x:v>00 사용안내, 09 Day 21, 10 전체</x:v>
      </x:c>
      <x:c r="K25" s="42" t="str">
        <x:v>로그·결과 JSON·시험보고서·스크린샷 경로</x:v>
      </x:c>
      <x:c r="L25" s="42" t="str">
        <x:v>미착수</x:v>
      </x:c>
      <x:c r="M25" s="43" t="n">
        <x:f>IF(COUNTIF('세부작업체크'!$A$5:$A$277,A25)=0,0,COUNTIFS('세부작업체크'!$A$5:$A$277,A25,'세부작업체크'!$N$5:$N$277,"완료")/COUNTIF('세부작업체크'!$A$5:$A$277,A25))</x:f>
        <x:v>0</x:v>
      </x:c>
    </x:row>
  </x:sheetData>
  <x:mergeCells>
    <x:mergeCell ref="A1:M1"/>
    <x:mergeCell ref="A2:M2"/>
  </x:mergeCells>
  <x:conditionalFormatting sqref="M5:M25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{BD4BA3A7-BB63-1367-4A60-E2BDFC1CEA99}</x14:id>
        </x:ext>
      </x:extLst>
    </x:cfRule>
  </x:conditionalFormatting>
  <x:conditionalFormatting sqref="L5:L25">
    <x:cfRule type="containsText" dxfId="8" priority="2" operator="containsText" text="완료"/>
    <x:cfRule type="containsText" dxfId="9" priority="3" operator="containsText" text="진행 중"/>
    <x:cfRule type="containsText" dxfId="10" priority="4" operator="containsText" text="검토 대기"/>
    <x:cfRule type="containsText" dxfId="11" priority="5" operator="containsText" text="차단"/>
  </x:conditionalFormatting>
  <x:pageMargins left="0.7" right="0.7" top="0.75" bottom="0.75" header="0.3" footer="0.3"/>
  <x:tableParts count="1">
    <x:tablePart xmlns:r="http://schemas.openxmlformats.org/officeDocument/2006/relationships" r:id="Rc4f43a76da294f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D4BA3A7-BB63-1367-4A60-E2BDFC1CEA99}">
            <x14:dataBar gradient="1">
              <x14:cfvo type="min"/>
              <x14:cfvo type="max"/>
              <x14:fillColor rgb="FF70AD47"/>
            </x14:dataBar>
          </x14:cfRule>
          <xm:sqref>M5:M25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.329999923706055" hidden="0" customWidth="1"/>
    <x:col min="3" max="3" width="12.779999732971191" hidden="0" customWidth="1"/>
    <x:col min="4" max="4" width="10.220000267028809" hidden="0" customWidth="1"/>
    <x:col min="5" max="5" width="9.4399995803833" hidden="0" customWidth="1"/>
    <x:col min="6" max="6" width="24.440000534057617" hidden="0" customWidth="1"/>
    <x:col min="7" max="7" width="43.33000183105469" hidden="0" customWidth="1"/>
    <x:col min="8" max="8" width="28.889999389648438" hidden="0" customWidth="1"/>
    <x:col min="9" max="9" width="24.440000534057617" hidden="0" customWidth="1"/>
    <x:col min="10" max="10" width="22.219999313354492" hidden="0" customWidth="1"/>
    <x:col min="11" max="11" width="28.889999389648438" hidden="0" customWidth="1"/>
    <x:col min="12" max="12" width="28.889999389648438" hidden="0" customWidth="1"/>
    <x:col min="13" max="13" width="24.440000534057617" hidden="0" customWidth="1"/>
    <x:col min="14" max="14" width="10" hidden="0" customWidth="1"/>
    <x:col min="15" max="15" width="24.440000534057617" hidden="0" customWidth="1"/>
    <x:col min="16" max="16" width="26.670000076293945" hidden="0" customWidth="1"/>
    <x:col min="17" max="17" width="28.889999389648438" hidden="0" customWidth="1"/>
    <x:col min="18" max="18" width="33.33000183105469" hidden="0" customWidth="1"/>
  </x:cols>
  <x:sheetData>
    <x:row r="1" ht="30" customHeight="1">
      <x:c r="A1" s="5" t="str">
        <x:v>AI 커머스 운영 에이전트 · 273개 실행 체크리스트</x:v>
      </x:c>
      <x:c r="B1" s="5" t="str">
        <x:v>AI 커머스 운영 에이전트 · 273개 실행 체크리스트</x:v>
      </x:c>
      <x:c r="C1" s="5" t="str">
        <x:v>AI 커머스 운영 에이전트 · 273개 실행 체크리스트</x:v>
      </x:c>
      <x:c r="D1" s="5" t="str">
        <x:v>AI 커머스 운영 에이전트 · 273개 실행 체크리스트</x:v>
      </x:c>
      <x:c r="E1" s="5" t="str">
        <x:v>AI 커머스 운영 에이전트 · 273개 실행 체크리스트</x:v>
      </x:c>
      <x:c r="F1" s="5" t="str">
        <x:v>AI 커머스 운영 에이전트 · 273개 실행 체크리스트</x:v>
      </x:c>
      <x:c r="G1" s="5" t="str">
        <x:v>AI 커머스 운영 에이전트 · 273개 실행 체크리스트</x:v>
      </x:c>
      <x:c r="H1" s="5" t="str">
        <x:v>AI 커머스 운영 에이전트 · 273개 실행 체크리스트</x:v>
      </x:c>
      <x:c r="I1" s="5" t="str">
        <x:v>AI 커머스 운영 에이전트 · 273개 실행 체크리스트</x:v>
      </x:c>
      <x:c r="J1" s="5" t="str">
        <x:v>AI 커머스 운영 에이전트 · 273개 실행 체크리스트</x:v>
      </x:c>
      <x:c r="K1" s="5" t="str">
        <x:v>AI 커머스 운영 에이전트 · 273개 실행 체크리스트</x:v>
      </x:c>
      <x:c r="L1" s="5" t="str">
        <x:v>AI 커머스 운영 에이전트 · 273개 실행 체크리스트</x:v>
      </x:c>
      <x:c r="M1" s="5" t="str">
        <x:v>AI 커머스 운영 에이전트 · 273개 실행 체크리스트</x:v>
      </x:c>
      <x:c r="N1" s="5" t="str">
        <x:v>AI 커머스 운영 에이전트 · 273개 실행 체크리스트</x:v>
      </x:c>
      <x:c r="O1" s="5" t="str">
        <x:v>AI 커머스 운영 에이전트 · 273개 실행 체크리스트</x:v>
      </x:c>
      <x:c r="P1" s="5" t="str">
        <x:v>AI 커머스 운영 에이전트 · 273개 실행 체크리스트</x:v>
      </x:c>
      <x:c r="Q1" s="5" t="str">
        <x:v>AI 커머스 운영 에이전트 · 273개 실행 체크리스트</x:v>
      </x:c>
      <x:c r="R1" s="5" t="str">
        <x:v>AI 커머스 운영 에이전트 · 273개 실행 체크리스트</x:v>
      </x:c>
    </x:row>
    <x:row r="2" ht="28" customHeight="1">
      <x:c r="A2" s="10" t="str">
        <x:v>착수 조건을 먼저 확인합니다. 검증 명령은 산출물·실행 파일·Fixture를 실제로 만든 뒤에만 실행합니다. 아직 없는 모듈을 실행해 발생한 오류는 완료가 아니며, 막히면 마지막 열의 대체 경로로 계속 진행합니다.</x:v>
      </x:c>
      <x:c r="B2" s="10" t="str">
        <x:v>착수 조건을 먼저 확인합니다. 완료는 검증 명령을 실행하고 ‘완료 증거’ 경로를 적은 뒤에만 처리합니다. 막히면 마지막 열의 대체 경로로 계속 진행합니다.</x:v>
      </x:c>
      <x:c r="C2" s="10" t="str">
        <x:v>착수 조건을 먼저 확인합니다. 완료는 검증 명령을 실행하고 ‘완료 증거’ 경로를 적은 뒤에만 처리합니다. 막히면 마지막 열의 대체 경로로 계속 진행합니다.</x:v>
      </x:c>
      <x:c r="D2" s="10" t="str">
        <x:v>착수 조건을 먼저 확인합니다. 완료는 검증 명령을 실행하고 ‘완료 증거’ 경로를 적은 뒤에만 처리합니다. 막히면 마지막 열의 대체 경로로 계속 진행합니다.</x:v>
      </x:c>
      <x:c r="E2" s="10" t="str">
        <x:v>착수 조건을 먼저 확인합니다. 완료는 검증 명령을 실행하고 ‘완료 증거’ 경로를 적은 뒤에만 처리합니다. 막히면 마지막 열의 대체 경로로 계속 진행합니다.</x:v>
      </x:c>
      <x:c r="F2" s="10" t="str">
        <x:v>착수 조건을 먼저 확인합니다. 완료는 검증 명령을 실행하고 ‘완료 증거’ 경로를 적은 뒤에만 처리합니다. 막히면 마지막 열의 대체 경로로 계속 진행합니다.</x:v>
      </x:c>
      <x:c r="G2" s="10" t="str">
        <x:v>착수 조건을 먼저 확인합니다. 완료는 검증 명령을 실행하고 ‘완료 증거’ 경로를 적은 뒤에만 처리합니다. 막히면 마지막 열의 대체 경로로 계속 진행합니다.</x:v>
      </x:c>
      <x:c r="H2" s="10" t="str">
        <x:v>착수 조건을 먼저 확인합니다. 완료는 검증 명령을 실행하고 ‘완료 증거’ 경로를 적은 뒤에만 처리합니다. 막히면 마지막 열의 대체 경로로 계속 진행합니다.</x:v>
      </x:c>
      <x:c r="I2" s="10" t="str">
        <x:v>착수 조건을 먼저 확인합니다. 완료는 검증 명령을 실행하고 ‘완료 증거’ 경로를 적은 뒤에만 처리합니다. 막히면 마지막 열의 대체 경로로 계속 진행합니다.</x:v>
      </x:c>
      <x:c r="J2" s="10" t="str">
        <x:v>착수 조건을 먼저 확인합니다. 완료는 검증 명령을 실행하고 ‘완료 증거’ 경로를 적은 뒤에만 처리합니다. 막히면 마지막 열의 대체 경로로 계속 진행합니다.</x:v>
      </x:c>
      <x:c r="K2" s="10" t="str">
        <x:v>착수 조건을 먼저 확인합니다. 완료는 검증 명령을 실행하고 ‘완료 증거’ 경로를 적은 뒤에만 처리합니다. 막히면 마지막 열의 대체 경로로 계속 진행합니다.</x:v>
      </x:c>
      <x:c r="L2" s="10" t="str">
        <x:v>착수 조건을 먼저 확인합니다. 완료는 검증 명령을 실행하고 ‘완료 증거’ 경로를 적은 뒤에만 처리합니다. 막히면 마지막 열의 대체 경로로 계속 진행합니다.</x:v>
      </x:c>
      <x:c r="M2" s="10" t="str">
        <x:v>착수 조건을 먼저 확인합니다. 완료는 검증 명령을 실행하고 ‘완료 증거’ 경로를 적은 뒤에만 처리합니다. 막히면 마지막 열의 대체 경로로 계속 진행합니다.</x:v>
      </x:c>
      <x:c r="N2" s="10" t="str">
        <x:v>착수 조건을 먼저 확인합니다. 완료는 검증 명령을 실행하고 ‘완료 증거’ 경로를 적은 뒤에만 처리합니다. 막히면 마지막 열의 대체 경로로 계속 진행합니다.</x:v>
      </x:c>
      <x:c r="O2" s="10" t="str">
        <x:v>착수 조건을 먼저 확인합니다. 완료는 검증 명령을 실행하고 ‘완료 증거’ 경로를 적은 뒤에만 처리합니다. 막히면 마지막 열의 대체 경로로 계속 진행합니다.</x:v>
      </x:c>
      <x:c r="P2" s="10" t="str">
        <x:v>착수 조건을 먼저 확인합니다. 완료는 검증 명령을 실행하고 ‘완료 증거’ 경로를 적은 뒤에만 처리합니다. 막히면 마지막 열의 대체 경로로 계속 진행합니다.</x:v>
      </x:c>
      <x:c r="Q2" s="10" t="str">
        <x:v>착수 조건을 먼저 확인합니다. 완료는 검증 명령을 실행하고 ‘완료 증거’ 경로를 적은 뒤에만 처리합니다. 막히면 마지막 열의 대체 경로로 계속 진행합니다.</x:v>
      </x:c>
      <x:c r="R2" s="10" t="str">
        <x:v>착수 조건을 먼저 확인합니다. 완료는 검증 명령을 실행하고 ‘완료 증거’ 경로를 적은 뒤에만 처리합니다. 막히면 마지막 열의 대체 경로로 계속 진행합니다.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 ht="32" customHeight="1">
      <x:c r="A4" s="16" t="str">
        <x:v>일차</x:v>
      </x:c>
      <x:c r="B4" s="16" t="str">
        <x:v>순서</x:v>
      </x:c>
      <x:c r="C4" s="16" t="str">
        <x:v>트랙</x:v>
      </x:c>
      <x:c r="D4" s="16" t="str">
        <x:v>작업 ID</x:v>
      </x:c>
      <x:c r="E4" s="16" t="str">
        <x:v>분류</x:v>
      </x:c>
      <x:c r="F4" s="16" t="str">
        <x:v>세부작업</x:v>
      </x:c>
      <x:c r="G4" s="16" t="str">
        <x:v>구체 구현 지시</x:v>
      </x:c>
      <x:c r="H4" s="16" t="str">
        <x:v>구현 위치·예상 파일</x:v>
      </x:c>
      <x:c r="I4" s="16" t="str">
        <x:v>입력·참조</x:v>
      </x:c>
      <x:c r="J4" s="16" t="str">
        <x:v>산출물</x:v>
      </x:c>
      <x:c r="K4" s="16" t="str">
        <x:v>검증 명령·방법</x:v>
      </x:c>
      <x:c r="L4" s="16" t="str">
        <x:v>완료 기준</x:v>
      </x:c>
      <x:c r="M4" s="16" t="str">
        <x:v>안전 확인</x:v>
      </x:c>
      <x:c r="N4" s="16" t="str">
        <x:v>상태</x:v>
      </x:c>
      <x:c r="O4" s="16" t="str">
        <x:v>완료 증거</x:v>
      </x:c>
      <x:c r="P4" s="16" t="str">
        <x:v>막힘·다음 조치</x:v>
      </x:c>
      <x:c r="Q4" s="16" t="str">
        <x:v>착수 조건</x:v>
      </x:c>
      <x:c r="R4" s="16" t="str">
        <x:v>차단 시 대체 방법</x:v>
      </x:c>
    </x:row>
    <x:row r="5" ht="72" customHeight="1">
      <x:c r="A5" s="44" t="str">
        <x:v>1일차</x:v>
      </x:c>
      <x:c r="B5" s="44" t="n">
        <x:v>1</x:v>
      </x:c>
      <x:c r="C5" s="44" t="str">
        <x:v>AI·ML</x:v>
      </x:c>
      <x:c r="D5" s="44" t="str">
        <x:v>D01-AI-01</x:v>
      </x:c>
      <x:c r="E5" s="44" t="str">
        <x:v>업무분해</x:v>
      </x:c>
      <x:c r="F5" s="44" t="str">
        <x:v>AI 작업을 규칙·검색·소형모델·대형모델로 분류</x:v>
      </x:c>
      <x:c r="G5" s="44" t="str">
        <x:v>재고계산, 예약부족, 일정충돌, 문의분류, 답변초안, 복합운영판단을 호출 단계별로 표로 고정한다.</x:v>
      </x:c>
      <x:c r="H5" s="44" t="str">
        <x:v>ai/router/task_catalog.yaml</x:v>
      </x:c>
      <x:c r="I5" s="44" t="str">
        <x:v>FR-AI-002 · 04 §2 · 00 사용안내, 01 종합기획, 05 데이터·API, 06 운영안전</x:v>
      </x:c>
      <x:c r="J5" s="44" t="str">
        <x:v>ai/router/task_catalog.yaml</x:v>
      </x:c>
      <x:c r="K5" s="44" t="str">
        <x:v>pytest ai/tests/ai/test_task_catalog.py -q</x:v>
      </x:c>
      <x:c r="L5" s="44" t="str">
        <x:v>모든 작업에 기본 경로와 대형모델 미호출 사유가 기록됨</x:v>
      </x:c>
      <x:c r="M5" s="44" t="str">
        <x:v>Production 쓰기 없음</x:v>
      </x:c>
      <x:c r="N5" s="44" t="str">
        <x:v>완료</x:v>
      </x:c>
      <x:c r="O5" s="44" t="str">
        <x:v>ai/tests/ai/test_task_catalog.py: 5 passed</x:v>
      </x:c>
      <x:c r="P5" s="44"/>
      <x:c r="Q5" s="44" t="str">
        <x:v>공동 계약 v0.1과 해당 Fixture/Mock 준비</x:v>
      </x:c>
      <x:c r="R5" s="44" t="str">
        <x:v>다른 트랙 결과가 없으면 공동 계약 기반 Mock/Fixture로 진행하고 차단 사유를 기록</x:v>
      </x:c>
    </x:row>
    <x:row r="6" ht="72" customHeight="1">
      <x:c r="A6" s="45" t="str">
        <x:v>1일차</x:v>
      </x:c>
      <x:c r="B6" s="45" t="n">
        <x:v>2</x:v>
      </x:c>
      <x:c r="C6" s="45" t="str">
        <x:v>AI·ML</x:v>
      </x:c>
      <x:c r="D6" s="45" t="str">
        <x:v>D01-AI-02</x:v>
      </x:c>
      <x:c r="E6" s="45" t="str">
        <x:v>평가</x:v>
      </x:c>
      <x:c r="F6" s="45" t="str">
        <x:v>실험 등록부와 결과 JSON 스키마 작성</x:v>
      </x:c>
      <x:c r="G6" s="45" t="str">
        <x:v>실험 ID, 데이터 버전, 기준방법, 후보, 지표, 비용, 오류분석, 채택결정을 필수 필드로 만든다.</x:v>
      </x:c>
      <x:c r="H6" s="45" t="str">
        <x:v>ai/evaluation/experiment.schema.json</x:v>
      </x:c>
      <x:c r="I6" s="45" t="str">
        <x:v>NFR-AI-001 · 04 §12 · 00 사용안내, 01 종합기획, 05 데이터·API, 06 운영안전</x:v>
      </x:c>
      <x:c r="J6" s="45" t="str">
        <x:v>ai/evaluation/experiment.schema.json</x:v>
      </x:c>
      <x:c r="K6" s="45" t="str">
        <x:v>ai/evaluation/validate_schema.py·experiment.schema.json·Fixture 존재 확인 → python -m ai.evaluation.validate_schema ai/tests/fixtures/experiment_sample.json</x:v>
      </x:c>
      <x:c r="L6" s="45" t="str">
        <x:v>예시 결과가 스키마 검증을 통과하고 누락 필드는 실패함</x:v>
      </x:c>
      <x:c r="M6" s="45" t="str">
        <x:v>Production 쓰기 없음</x:v>
      </x:c>
      <x:c r="N6" s="45" t="str">
        <x:v>완료</x:v>
      </x:c>
      <x:c r="O6" s="45" t="str">
        <x:v>정상 Fixture SCHEMA_VALIDATION_OK; metrics 누락 Fixture SCHEMA_VALIDATION_FAILED</x:v>
      </x:c>
      <x:c r="P6" s="45"/>
      <x:c r="Q6" s="45" t="str">
        <x:v>공동 계약 v0.1과 해당 Fixture/Mock 준비</x:v>
      </x:c>
      <x:c r="R6" s="45" t="str">
        <x:v>다른 트랙 결과가 없으면 공동 계약 기반 Mock/Fixture로 진행하고 차단 사유를 기록</x:v>
      </x:c>
    </x:row>
    <x:row r="7" ht="72" customHeight="1">
      <x:c r="A7" s="45" t="str">
        <x:v>1일차</x:v>
      </x:c>
      <x:c r="B7" s="45" t="n">
        <x:v>3</x:v>
      </x:c>
      <x:c r="C7" s="45" t="str">
        <x:v>AI·ML</x:v>
      </x:c>
      <x:c r="D7" s="45" t="str">
        <x:v>D01-AI-03</x:v>
      </x:c>
      <x:c r="E7" s="45" t="str">
        <x:v>데이터</x:v>
      </x:c>
      <x:c r="F7" s="45" t="str">
        <x:v>Golden Set 목록과 누출 방지 규칙 정의</x:v>
      </x:c>
      <x:c r="G7" s="45" t="str">
        <x:v>prompt/retrieval/graph/memory/agent용 시험세트 manifest와 train/valid/test 격리 규칙을 만든다.</x:v>
      </x:c>
      <x:c r="H7" s="45" t="str">
        <x:v>ai/evaluation/datasets/manifest.yaml</x:v>
      </x:c>
      <x:c r="I7" s="45" t="str">
        <x:v>09 §3 · 00 사용안내, 01 종합기획, 05 데이터·API, 06 운영안전</x:v>
      </x:c>
      <x:c r="J7" s="45" t="str">
        <x:v>ai/evaluation/datasets/manifest.yaml</x:v>
      </x:c>
      <x:c r="K7" s="45" t="str">
        <x:v>pytest ai/tests/ai/test_dataset_manifest.py -q</x:v>
      </x:c>
      <x:c r="L7" s="45" t="str">
        <x:v>각 세트의 목적·소유자·버전·해시·비공개 여부가 있음</x:v>
      </x:c>
      <x:c r="M7" s="45" t="str">
        <x:v>Production 쓰기 없음</x:v>
      </x:c>
      <x:c r="N7" s="45" t="str">
        <x:v>완료</x:v>
      </x:c>
      <x:c r="O7" s="45" t="str">
        <x:v>ai/tests/ai/test_dataset_manifest.py: 5 passed</x:v>
      </x:c>
      <x:c r="P7" s="45"/>
      <x:c r="Q7" s="45" t="str">
        <x:v>공동 계약 v0.1과 해당 Fixture/Mock 준비</x:v>
      </x:c>
      <x:c r="R7" s="45" t="str">
        <x:v>다른 트랙 결과가 없으면 공동 계약 기반 Mock/Fixture로 진행하고 차단 사유를 기록</x:v>
      </x:c>
    </x:row>
    <x:row r="8" ht="72" customHeight="1">
      <x:c r="A8" s="45" t="str">
        <x:v>1일차</x:v>
      </x:c>
      <x:c r="B8" s="45" t="n">
        <x:v>4</x:v>
      </x:c>
      <x:c r="C8" s="45" t="str">
        <x:v>AI·ML</x:v>
      </x:c>
      <x:c r="D8" s="45" t="str">
        <x:v>D01-AI-04</x:v>
      </x:c>
      <x:c r="E8" s="45" t="str">
        <x:v>프롬프트</x:v>
      </x:c>
      <x:c r="F8" s="45" t="str">
        <x:v>프롬프트 저장 형식 v0.1 생성</x:v>
      </x:c>
      <x:c r="G8" s="45" t="str">
        <x:v>system/instruction/examples/output_schema/safety/version을 분리한 템플릿 구조를 만든다.</x:v>
      </x:c>
      <x:c r="H8" s="45" t="str">
        <x:v>ai/prompts/_template/prompt.yaml</x:v>
      </x:c>
      <x:c r="I8" s="45" t="str">
        <x:v>04 §4.2 · 00 사용안내, 01 종합기획, 05 데이터·API, 06 운영안전</x:v>
      </x:c>
      <x:c r="J8" s="45" t="str">
        <x:v>ai/prompts/_template/prompt.yaml</x:v>
      </x:c>
      <x:c r="K8" s="45" t="str">
        <x:v>pytest ai/tests/ai/test_prompt_template.py -q</x:v>
      </x:c>
      <x:c r="L8" s="45" t="str">
        <x:v>필수 영역과 버전이 없으면 검증 실패</x:v>
      </x:c>
      <x:c r="M8" s="45" t="str">
        <x:v>Production 쓰기 없음</x:v>
      </x:c>
      <x:c r="N8" s="45" t="str">
        <x:v>완료</x:v>
      </x:c>
      <x:c r="O8" s="45" t="str">
        <x:v>ai/tests/ai/test_prompt_template.py: 4 passed</x:v>
      </x:c>
      <x:c r="P8" s="45"/>
      <x:c r="Q8" s="45" t="str">
        <x:v>공동 계약 v0.1과 해당 Fixture/Mock 준비</x:v>
      </x:c>
      <x:c r="R8" s="45" t="str">
        <x:v>다른 트랙 결과가 없으면 공동 계약 기반 Mock/Fixture로 진행하고 차단 사유를 기록</x:v>
      </x:c>
    </x:row>
    <x:row r="9" ht="72" customHeight="1">
      <x:c r="A9" s="45" t="str">
        <x:v>1일차</x:v>
      </x:c>
      <x:c r="B9" s="45" t="n">
        <x:v>5</x:v>
      </x:c>
      <x:c r="C9" s="45" t="str">
        <x:v>AI·ML</x:v>
      </x:c>
      <x:c r="D9" s="45" t="str">
        <x:v>D01-AI-05</x:v>
      </x:c>
      <x:c r="E9" s="45" t="str">
        <x:v>연결계약</x:v>
      </x:c>
      <x:c r="F9" s="45" t="str">
        <x:v>AI 서비스 Mock 응답 계약 고정</x:v>
      </x:c>
      <x:c r="G9" s="45" t="str">
        <x:v>route_reason, confidence, evidence_ids, model, token, latency, cost 필드를 예시 응답으로 만든다.</x:v>
      </x:c>
      <x:c r="H9" s="45" t="str">
        <x:v>contracts/ai_response.schema.json</x:v>
      </x:c>
      <x:c r="I9" s="45" t="str">
        <x:v>FR-AI-001~004 · 05 §4.3 · 00 사용안내, 01 종합기획, 05 데이터·API, 06 운영안전</x:v>
      </x:c>
      <x:c r="J9" s="45" t="str">
        <x:v>contracts/ai_response.schema.json</x:v>
      </x:c>
      <x:c r="K9" s="45" t="str">
        <x:v>pytest contracts/tests/test_ai_response.py -q</x:v>
      </x:c>
      <x:c r="L9" s="45" t="str">
        <x:v>AI/백엔드/화면이 같은 Mock 응답을 읽음</x:v>
      </x:c>
      <x:c r="M9" s="45" t="str">
        <x:v>Production 쓰기 없음</x:v>
      </x:c>
      <x:c r="N9" s="45" t="str">
        <x:v>완료</x:v>
      </x:c>
      <x:c r="O9" s="45" t="str">
        <x:v>contracts/tests/test_ai_response.py: 4 passed</x:v>
      </x:c>
      <x:c r="P9" s="45"/>
      <x:c r="Q9" s="45" t="str">
        <x:v>공동 계약 v0.1과 해당 Fixture/Mock 준비</x:v>
      </x:c>
      <x:c r="R9" s="45" t="str">
        <x:v>다른 트랙 결과가 없으면 공동 계약 기반 Mock/Fixture로 진행하고 차단 사유를 기록</x:v>
      </x:c>
    </x:row>
    <x:row r="10" ht="72" customHeight="1">
      <x:c r="A10" s="46" t="str">
        <x:v>1일차</x:v>
      </x:c>
      <x:c r="B10" s="46" t="n">
        <x:v>1</x:v>
      </x:c>
      <x:c r="C10" s="46" t="str">
        <x:v>백엔드·데이터</x:v>
      </x:c>
      <x:c r="D10" s="46" t="str">
        <x:v>D01-BE-01</x:v>
      </x:c>
      <x:c r="E10" s="46" t="str">
        <x:v>저장소</x:v>
      </x:c>
      <x:c r="F10" s="46" t="str">
        <x:v>권장 폴더와 최소 실행환경 생성</x:v>
      </x:c>
      <x:c r="G10" s="46" t="str">
        <x:v>backend/app, backend/app/worker, frontend, contracts, ai, tests, infra를 만들고 공통 명령을 정의한다.</x:v>
      </x:c>
      <x:c r="H10" s="46" t="str">
        <x:v>pyproject.toml · backend/ · frontend/ · contracts/ · ai/</x:v>
      </x:c>
      <x:c r="I10" s="46" t="str">
        <x:v>03 §3 · 10 §2 · 00 사용안내, 01 종합기획, 05 데이터·API, 06 운영안전</x:v>
      </x:c>
      <x:c r="J10" s="46" t="str">
        <x:v>pyproject.toml · backend/ · frontend/ · contracts/ · ai/</x:v>
      </x:c>
      <x:c r="K10" s="46" t="str">
        <x:v>make lint &amp;&amp; make test-smoke</x:v>
      </x:c>
      <x:c r="L10" s="46" t="str">
        <x:v>빈 서비스가 동일 명령으로 기동·종료됨</x:v>
      </x:c>
      <x:c r="M10" s="46" t="str">
        <x:v>Production 쓰기 없음</x:v>
      </x:c>
      <x:c r="N10" s="46" t="str">
        <x:v>완료</x:v>
      </x:c>
      <x:c r="O10" s="46" t="str">
        <x:v>Python 3.11.3·main·pyproject.toml·FastAPI 최소 실행 구조 확인</x:v>
      </x:c>
      <x:c r="P10" s="46"/>
      <x:c r="Q10" s="46" t="str">
        <x:v>공동 계약 v0.1과 해당 Fixture/Mock 준비</x:v>
      </x:c>
      <x:c r="R10" s="46" t="str">
        <x:v>다른 트랙 결과가 없으면 공동 계약 기반 Mock/Fixture로 진행하고 차단 사유를 기록</x:v>
      </x:c>
    </x:row>
    <x:row r="11" ht="72" customHeight="1">
      <x:c r="A11" s="46" t="str">
        <x:v>1일차</x:v>
      </x:c>
      <x:c r="B11" s="46" t="n">
        <x:v>2</x:v>
      </x:c>
      <x:c r="C11" s="46" t="str">
        <x:v>백엔드·데이터</x:v>
      </x:c>
      <x:c r="D11" s="46" t="str">
        <x:v>D01-BE-02</x:v>
      </x:c>
      <x:c r="E11" s="46" t="str">
        <x:v>계약</x:v>
      </x:c>
      <x:c r="F11" s="46" t="str">
        <x:v>표준 Commerce Event 모델 v0.1 구현</x:v>
      </x:c>
      <x:c r="G11" s="46" t="str">
        <x:v>tenant_id, provider, event_id, event_type, occurred_at, ingested_at, schema_version, payload_ref를 타입으로 고정한다.</x:v>
      </x:c>
      <x:c r="H11" s="46" t="str">
        <x:v>contracts/events.py</x:v>
      </x:c>
      <x:c r="I11" s="46" t="str">
        <x:v>FR-INT-004 · 05 §5 · 00 사용안내, 01 종합기획, 05 데이터·API, 06 운영안전</x:v>
      </x:c>
      <x:c r="J11" s="46" t="str">
        <x:v>contracts/events.py</x:v>
      </x:c>
      <x:c r="K11" s="46" t="str">
        <x:v>pytest contracts/tests/test_event_envelope.py -q</x:v>
      </x:c>
      <x:c r="L11" s="46" t="str">
        <x:v>유효·누락·중복 예시가 예상대로 통과/실패</x:v>
      </x:c>
      <x:c r="M11" s="46" t="str">
        <x:v>Production 쓰기 없음</x:v>
      </x:c>
      <x:c r="N11" s="46" t="str">
        <x:v>완료</x:v>
      </x:c>
      <x:c r="O11" s="46" t="str">
        <x:v>Canonical Event 유효·필수·enum·timezone·duplicate key 계약시험 PASS</x:v>
      </x:c>
      <x:c r="P11" s="46"/>
      <x:c r="Q11" s="46" t="str">
        <x:v>공동 계약 v0.1과 해당 Fixture/Mock 준비</x:v>
      </x:c>
      <x:c r="R11" s="46" t="str">
        <x:v>다른 트랙 결과가 없으면 공동 계약 기반 Mock/Fixture로 진행하고 차단 사유를 기록</x:v>
      </x:c>
    </x:row>
    <x:row r="12" ht="72" customHeight="1">
      <x:c r="A12" s="46" t="str">
        <x:v>1일차</x:v>
      </x:c>
      <x:c r="B12" s="46" t="n">
        <x:v>3</x:v>
      </x:c>
      <x:c r="C12" s="46" t="str">
        <x:v>백엔드·데이터</x:v>
      </x:c>
      <x:c r="D12" s="46" t="str">
        <x:v>D01-BE-03</x:v>
      </x:c>
      <x:c r="E12" s="46" t="str">
        <x:v>API</x:v>
      </x:c>
      <x:c r="F12" s="46" t="str">
        <x:v>헬스·준비·버전 API 구현</x:v>
      </x:c>
      <x:c r="G12" s="46" t="str">
        <x:v>GET /health, /ready, /api/v1/meta에서 환경·계약버전·write_mode를 노출한다.</x:v>
      </x:c>
      <x:c r="H12" s="46" t="str">
        <x:v>backend/app/routes/meta.py</x:v>
      </x:c>
      <x:c r="I12" s="46" t="str">
        <x:v>NFR-OPS-001 · 05 §4 · 00 사용안내, 01 종합기획, 05 데이터·API, 06 운영안전</x:v>
      </x:c>
      <x:c r="J12" s="46" t="str">
        <x:v>backend/app/routes/meta.py</x:v>
      </x:c>
      <x:c r="K12" s="46" t="str">
        <x:v>pytest backend/tests/api/test_meta.py -q</x:v>
      </x:c>
      <x:c r="L12" s="46" t="str">
        <x:v>PRODUCTION_READ에서 write_mode=disabled</x:v>
      </x:c>
      <x:c r="M12" s="46" t="str">
        <x:v>Production 쓰기 없음</x:v>
      </x:c>
      <x:c r="N12" s="46" t="str">
        <x:v>완료</x:v>
      </x:c>
      <x:c r="O12" s="46" t="str">
        <x:v>GET /api/v1/health·ready·meta smoke PASS</x:v>
      </x:c>
      <x:c r="P12" s="46"/>
      <x:c r="Q12" s="46" t="str">
        <x:v>공동 계약 v0.1과 해당 Fixture/Mock 준비</x:v>
      </x:c>
      <x:c r="R12" s="46" t="str">
        <x:v>다른 트랙 결과가 없으면 공동 계약 기반 Mock/Fixture로 진행하고 차단 사유를 기록</x:v>
      </x:c>
    </x:row>
    <x:row r="13" ht="72" customHeight="1">
      <x:c r="A13" s="46" t="str">
        <x:v>1일차</x:v>
      </x:c>
      <x:c r="B13" s="46" t="n">
        <x:v>4</x:v>
      </x:c>
      <x:c r="C13" s="46" t="str">
        <x:v>백엔드·데이터</x:v>
      </x:c>
      <x:c r="D13" s="46" t="str">
        <x:v>D01-BE-04</x:v>
      </x:c>
      <x:c r="E13" s="46" t="str">
        <x:v>안전</x:v>
      </x:c>
      <x:c r="F13" s="46" t="str">
        <x:v>Production 쓰기 차단 정책 코드화</x:v>
      </x:c>
      <x:c r="G13" s="46" t="str">
        <x:v>환경이 Production이면 POST/PUT/PATCH/DELETE 외부 연동 호출을 실행 전에 거부하고 감사 이벤트를 남긴다.</x:v>
      </x:c>
      <x:c r="H13" s="46" t="str">
        <x:v>backend/app/policies/write_policy.py</x:v>
      </x:c>
      <x:c r="I13" s="46" t="str">
        <x:v>FR-SAFE-001 · 06 §4 · 00 사용안내, 01 종합기획, 05 데이터·API, 06 운영안전</x:v>
      </x:c>
      <x:c r="J13" s="46" t="str">
        <x:v>backend/app/policies/write_policy.py</x:v>
      </x:c>
      <x:c r="K13" s="46" t="str">
        <x:v>pytest backend/tests/safety/test_production_write_deny.py -q</x:v>
      </x:c>
      <x:c r="L13" s="46" t="str">
        <x:v>금지 경로 호출 0회, deny audit 1건</x:v>
      </x:c>
      <x:c r="M13" s="46" t="str">
        <x:v>Production 쓰기 없음</x:v>
      </x:c>
      <x:c r="N13" s="46" t="str">
        <x:v>완료</x:v>
      </x:c>
      <x:c r="O13" s="46" t="str">
        <x:v>POLICY_DENIED; provider write call count=0; deny audit 생성</x:v>
      </x:c>
      <x:c r="P13" s="46"/>
      <x:c r="Q13" s="46" t="str">
        <x:v>공동 계약 v0.1과 해당 Fixture/Mock 준비</x:v>
      </x:c>
      <x:c r="R13" s="46" t="str">
        <x:v>다른 트랙 결과가 없으면 공동 계약 기반 Mock/Fixture로 진행하고 차단 사유를 기록</x:v>
      </x:c>
    </x:row>
    <x:row r="14" ht="72" customHeight="1">
      <x:c r="A14" s="46" t="str">
        <x:v>1일차</x:v>
      </x:c>
      <x:c r="B14" s="46" t="n">
        <x:v>5</x:v>
      </x:c>
      <x:c r="C14" s="46" t="str">
        <x:v>백엔드·데이터</x:v>
      </x:c>
      <x:c r="D14" s="46" t="str">
        <x:v>D01-BE-05</x:v>
      </x:c>
      <x:c r="E14" s="46" t="str">
        <x:v>Mock</x:v>
      </x:c>
      <x:c r="F14" s="46" t="str">
        <x:v>세 외부 서비스 Mock Provider 작성</x:v>
      </x:c>
      <x:c r="G14" s="46" t="str">
        <x:v>Cafe24/Toss/eCount 읽기 응답과 지원하지 않는 기능 오류를 동일 인터페이스로 제공한다.</x:v>
      </x:c>
      <x:c r="H14" s="46" t="str">
        <x:v>backend/app/adapters/providers/mock.py</x:v>
      </x:c>
      <x:c r="I14" s="46" t="str">
        <x:v>FR-INT-001~003 · 03 §6 · 00 사용안내, 01 종합기획, 05 데이터·API, 06 운영안전</x:v>
      </x:c>
      <x:c r="J14" s="46" t="str">
        <x:v>backend/app/adapters/providers/mock.py</x:v>
      </x:c>
      <x:c r="K14" s="46" t="str">
        <x:v>pytest backend/tests/providers/test_mock_providers.py -q</x:v>
      </x:c>
      <x:c r="L14" s="46" t="str">
        <x:v>각 Provider가 fixture를 읽고 write는 모두 거부</x:v>
      </x:c>
      <x:c r="M14" s="46" t="str">
        <x:v>Production 쓰기 없음</x:v>
      </x:c>
      <x:c r="N14" s="46" t="str">
        <x:v>완료</x:v>
      </x:c>
      <x:c r="O14" s="46" t="str">
        <x:v>Cafe24·Toss POS·eCount Mock 공통 계약과 write deny PASS</x:v>
      </x:c>
      <x:c r="P14" s="46"/>
      <x:c r="Q14" s="46" t="str">
        <x:v>공동 계약 v0.1과 해당 Fixture/Mock 준비</x:v>
      </x:c>
      <x:c r="R14" s="46" t="str">
        <x:v>다른 트랙 결과가 없으면 공동 계약 기반 Mock/Fixture로 진행하고 차단 사유를 기록</x:v>
      </x:c>
    </x:row>
    <x:row r="15" ht="72" customHeight="1">
      <x:c r="A15" s="47" t="str">
        <x:v>1일차</x:v>
      </x:c>
      <x:c r="B15" s="47" t="n">
        <x:v>1</x:v>
      </x:c>
      <x:c r="C15" s="47" t="str">
        <x:v>프론트엔드·제품</x:v>
      </x:c>
      <x:c r="D15" s="47" t="str">
        <x:v>D01-FE-01</x:v>
      </x:c>
      <x:c r="E15" s="47" t="str">
        <x:v>Figma</x:v>
      </x:c>
      <x:c r="F15" s="47" t="str">
        <x:v>Figma AI로 7개 화면과 디자인 시스템 일괄 생성</x:v>
      </x:c>
      <x:c r="G15" s="47" t="str">
        <x:v>07 §0의 Master Prompt를 사용해 1280px Desktop 기준 홈, 상품·재고, 주문·판매, 고객문의, 운영일정, AI 분석, 연동·설정 화면과 공통 Navigation/Header/Table/Card/Badge/Drawer, Loading/Empty/Stale/Denied 상태를 한 파일에 생성한다. 생성 후 화면목록·컴포넌트·상태 누락을 체크한다.</x:v>
      </x:c>
      <x:c r="H15" s="47" t="str">
        <x:v>frontend/design/figma/commerce_ops_ui.fig · frontend/design/figma/handoff.md</x:v>
      </x:c>
      <x:c r="I15" s="47" t="str">
        <x:v>07 §0~3·13~15 · 00 사용안내, 01 종합기획, 05 데이터·API, 06 운영안전</x:v>
      </x:c>
      <x:c r="J15" s="47" t="str">
        <x:v>frontend/design/figma/commerce_ops_ui.fig · frontend/design/figma/handoff.md</x:v>
      </x:c>
      <x:c r="K15" s="47" t="str">
        <x:v>python scripts/validate_figma_handoff.py frontend/design/figma/handoff.md</x:v>
      </x:c>
      <x:c r="L15" s="47" t="str">
        <x:v>7개 화면·공통 컴포넌트·필수 상태·색상/타이포/간격 token·금지 CTA 목록이 handoff에 있고 실제 구현 기준으로 잠금</x:v>
      </x:c>
      <x:c r="M15" s="47" t="str">
        <x:v>실제 PII·Production ID·금지 Write CTA 없음</x:v>
      </x:c>
      <x:c r="N15" s="47" t="str">
        <x:v>완료</x:v>
      </x:c>
      <x:c r="O15" s="47" t="str">
        <x:v>Figma 7개 화면과 frontend/design/figma/handoff.md 사용자 검수 완료</x:v>
      </x:c>
      <x:c r="P15" s="47"/>
      <x:c r="Q15" s="47" t="str">
        <x:v>07 UI·UX 설계서와 Demo Fixture 목록 준비</x:v>
      </x:c>
      <x:c r="R15" s="47" t="str">
        <x:v>Figma AI 사용이 불가하면 동일 Master Prompt로 정적 wireframe을 작성하되 handoff 계약은 동일하게 유지</x:v>
      </x:c>
    </x:row>
    <x:row r="16" ht="72" customHeight="1">
      <x:c r="A16" s="47" t="str">
        <x:v>1일차</x:v>
      </x:c>
      <x:c r="B16" s="47" t="n">
        <x:v>2</x:v>
      </x:c>
      <x:c r="C16" s="47" t="str">
        <x:v>프론트엔드·제품</x:v>
      </x:c>
      <x:c r="D16" s="47" t="str">
        <x:v>D01-FE-02</x:v>
      </x:c>
      <x:c r="E16" s="47" t="str">
        <x:v>화면골격</x:v>
      </x:c>
      <x:c r="F16" s="47" t="str">
        <x:v>Figma 인계 기준 7개 라우트·공통 틀·환경배지 구현</x:v>
      </x:c>
      <x:c r="G16" s="47" t="str">
        <x:v>Figma 결과를 이미지 복제하지 말고 handoff의 token과 component mapping으로 홈, 상품·재고, 주문·판매, 고객문의, 운영일정, AI 분석, 연동·설정 라우트와 공통 Navigation/Header를 구현한다. 상단에 tenant/environment/as_of/Production Read-Only 또는 Demo를 항상 표시한다.</x:v>
      </x:c>
      <x:c r="H16" s="47" t="str">
        <x:v>frontend/src/app/ · frontend/src/components/EnvironmentBanner.tsx · frontend/src/styles/tokens.css</x:v>
      </x:c>
      <x:c r="I16" s="47" t="str">
        <x:v>06 §3 · 07 §0~3 · 00 사용안내, 01 종합기획, 05 데이터·API, 06 운영안전</x:v>
      </x:c>
      <x:c r="J16" s="47" t="str">
        <x:v>frontend/src/app/ · frontend/src/components/EnvironmentBanner.tsx · frontend/src/styles/tokens.css</x:v>
      </x:c>
      <x:c r="K16" s="47" t="str">
        <x:v>npm --prefix frontend test -- routes EnvironmentBanner</x:v>
      </x:c>
      <x:c r="L16" s="47" t="str">
        <x:v>7개 라우트·공통 탐색·환경배지가 렌더링되고 Figma handoff의 token 이름과 코드 token이 매핑됨</x:v>
      </x:c>
      <x:c r="M16" s="47" t="str">
        <x:v>Production 금지 CTA 0개</x:v>
      </x:c>
      <x:c r="N16" s="47" t="str">
        <x:v>완료</x:v>
      </x:c>
      <x:c r="O16" s="47" t="str">
        <x:v>17/17 PASS; production build PASS; 7개 Route 사용자 수동 확인</x:v>
      </x:c>
      <x:c r="P16" s="47"/>
      <x:c r="Q16" s="47" t="str">
        <x:v>D01-FE-01 handoff 완료</x:v>
      </x:c>
      <x:c r="R16" s="47" t="str">
        <x:v>Figma export가 늦으면 handoff token 기본값과 wireframe으로 구현하고 디자인 교체가 가능한 component boundary 유지</x:v>
      </x:c>
    </x:row>
    <x:row r="17" ht="72" customHeight="1">
      <x:c r="A17" s="47" t="str">
        <x:v>1일차</x:v>
      </x:c>
      <x:c r="B17" s="47" t="n">
        <x:v>3</x:v>
      </x:c>
      <x:c r="C17" s="47" t="str">
        <x:v>프론트엔드·제품</x:v>
      </x:c>
      <x:c r="D17" s="47" t="str">
        <x:v>D01-FE-03</x:v>
      </x:c>
      <x:c r="E17" s="47" t="str">
        <x:v>Mock</x:v>
      </x:c>
      <x:c r="F17" s="47" t="str">
        <x:v>계약 v0.1 기반 API Mock과 화면 타입 연결</x:v>
      </x:c>
      <x:c r="G17" s="47" t="str">
        <x:v>05 데이터·API 명세에서 Type을 생성하고 AI 응답·이벤트·오류 상태 Fixture를 Mock handler에 연결한다. Figma에 그려진 임의 필드는 사용하지 않는다.</x:v>
      </x:c>
      <x:c r="H17" s="47" t="str">
        <x:v>frontend/src/mocks/handlers.ts · frontend/src/types/contracts.ts</x:v>
      </x:c>
      <x:c r="I17" s="47" t="str">
        <x:v>05 §3~4 · 07 §0 · 00 사용안내, 01 종합기획, 05 데이터·API, 06 운영안전</x:v>
      </x:c>
      <x:c r="J17" s="47" t="str">
        <x:v>frontend/src/mocks/handlers.ts · frontend/src/types/contracts.ts</x:v>
      </x:c>
      <x:c r="K17" s="47" t="str">
        <x:v>npm --prefix frontend test -- mocks contracts</x:v>
      </x:c>
      <x:c r="L17" s="47" t="str">
        <x:v>Mock 모드에서 홈 화면이 로드되고 OpenAPI/JSON Schema와 소비 필드 차이 0건</x:v>
      </x:c>
      <x:c r="M17" s="47" t="str">
        <x:v>Mock에 실제 PII·Secret 없음</x:v>
      </x:c>
      <x:c r="N17" s="47" t="str">
        <x:v>완료</x:v>
      </x:c>
      <x:c r="O17" s="47" t="str">
        <x:v>지정 10/10·전체 29/29 PASS; build PASS; PII/Secret·network·write 0</x:v>
      </x:c>
      <x:c r="P17" s="47"/>
      <x:c r="Q17" s="47" t="str">
        <x:v>공동 계약 v0.1과 D01-FE-02 route 준비</x:v>
      </x:c>
      <x:c r="R17" s="47" t="str">
        <x:v>Backend 미완료 시 계약 Fixture로 진행</x:v>
      </x:c>
    </x:row>
    <x:row r="18" ht="72" customHeight="1">
      <x:c r="A18" s="45" t="str">
        <x:v>2일차</x:v>
      </x:c>
      <x:c r="B18" s="45" t="n">
        <x:v>1</x:v>
      </x:c>
      <x:c r="C18" s="45" t="str">
        <x:v>AI·ML</x:v>
      </x:c>
      <x:c r="D18" s="45" t="str">
        <x:v>D02-AI-01</x:v>
      </x:c>
      <x:c r="E18" s="45" t="str">
        <x:v>분류체계</x:v>
      </x:c>
      <x:c r="F18" s="45" t="str">
        <x:v>문의·상품·운영 데이터 taxonomy 정의</x:v>
      </x:c>
      <x:c r="G18" s="45" t="str">
        <x:v>intent, entity, risk, product relation, anomaly label을 사전과 예시로 고정한다.</x:v>
      </x:c>
      <x:c r="H18" s="45" t="str">
        <x:v>ai/data/taxonomy.yaml</x:v>
      </x:c>
      <x:c r="I18" s="45" t="str">
        <x:v>FR-CS-001 · 04 §3.1 · 02 요구사항, 05 데이터·API, 09 테스트·평가</x:v>
      </x:c>
      <x:c r="J18" s="45" t="str">
        <x:v>ai/data/taxonomy.yaml</x:v>
      </x:c>
      <x:c r="K18" s="45" t="str">
        <x:v>pytest ai/tests/ai/test_taxonomy.py -q</x:v>
      </x:c>
      <x:c r="L18" s="45" t="str">
        <x:v>중복 라벨·설명 없는 라벨 0개</x:v>
      </x:c>
      <x:c r="M18" s="45" t="str">
        <x:v>Production 쓰기 없음</x:v>
      </x:c>
      <x:c r="N18" s="45" t="str">
        <x:v>완료</x:v>
      </x:c>
      <x:c r="O18" s="45" t="str">
        <x:v>ai/tests/ai/test_taxonomy.py: 9 passed</x:v>
      </x:c>
      <x:c r="P18" s="45"/>
      <x:c r="Q18" s="45" t="str">
        <x:v>공동 계약 v0.1과 해당 Fixture/Mock 준비</x:v>
      </x:c>
      <x:c r="R18" s="45" t="str">
        <x:v>다른 트랙 결과가 없으면 공동 계약 기반 Mock/Fixture로 진행하고 차단 사유를 기록</x:v>
      </x:c>
    </x:row>
    <x:row r="19" ht="72" customHeight="1">
      <x:c r="A19" s="45" t="str">
        <x:v>2일차</x:v>
      </x:c>
      <x:c r="B19" s="45" t="n">
        <x:v>2</x:v>
      </x:c>
      <x:c r="C19" s="45" t="str">
        <x:v>AI·ML</x:v>
      </x:c>
      <x:c r="D19" s="45" t="str">
        <x:v>D02-AI-02</x:v>
      </x:c>
      <x:c r="E19" s="45" t="str">
        <x:v>개인정보</x:v>
      </x:c>
      <x:c r="F19" s="45" t="str">
        <x:v>비식별 처리 규칙과 검사기 작성</x:v>
      </x:c>
      <x:c r="G19" s="45" t="str">
        <x:v>이름·전화·주소·이메일·주문식별자를 제거 또는 토큰화하고 원문을 AI 입력에 넘기지 않는다.</x:v>
      </x:c>
      <x:c r="H19" s="45" t="str">
        <x:v>ai/data/redaction.py</x:v>
      </x:c>
      <x:c r="I19" s="45" t="str">
        <x:v>NFR-SEC-002 · 06 §9 · 02 요구사항, 05 데이터·API, 09 테스트·평가</x:v>
      </x:c>
      <x:c r="J19" s="45" t="str">
        <x:v>ai/data/redaction.py</x:v>
      </x:c>
      <x:c r="K19" s="45" t="str">
        <x:v>pytest ai/tests/privacy/test_redaction.py -q</x:v>
      </x:c>
      <x:c r="L19" s="45" t="str">
        <x:v>PII fixture 100% 차단, 과잉제거 사례 기록</x:v>
      </x:c>
      <x:c r="M19" s="45" t="str">
        <x:v>Production 쓰기 없음</x:v>
      </x:c>
      <x:c r="N19" s="45" t="str">
        <x:v>완료</x:v>
      </x:c>
      <x:c r="O19" s="45" t="str">
        <x:v>ai/tests/privacy/test_redaction.py: 10 passed; 이름·주소·주문식별자 원문 잔존 0</x:v>
      </x:c>
      <x:c r="P19" s="45"/>
      <x:c r="Q19" s="45" t="str">
        <x:v>공동 계약 v0.1과 해당 Fixture/Mock 준비</x:v>
      </x:c>
      <x:c r="R19" s="45" t="str">
        <x:v>다른 트랙 결과가 없으면 공동 계약 기반 Mock/Fixture로 진행하고 차단 사유를 기록</x:v>
      </x:c>
    </x:row>
    <x:row r="20" ht="72" customHeight="1">
      <x:c r="A20" s="45" t="str">
        <x:v>2일차</x:v>
      </x:c>
      <x:c r="B20" s="45" t="n">
        <x:v>3</x:v>
      </x:c>
      <x:c r="C20" s="45" t="str">
        <x:v>AI·ML</x:v>
      </x:c>
      <x:c r="D20" s="45" t="str">
        <x:v>D02-AI-03</x:v>
      </x:c>
      <x:c r="E20" s="45" t="str">
        <x:v>분할</x:v>
      </x:c>
      <x:c r="F20" s="45" t="str">
        <x:v>학습·검증·시험 분할기 작성</x:v>
      </x:c>
      <x:c r="G20" s="45" t="str">
        <x:v>고객·대화 thread·시간을 묶어 동일 그룹이 여러 split에 섞이지 않게 한다.</x:v>
      </x:c>
      <x:c r="H20" s="45" t="str">
        <x:v>ai/data/split_dataset.py</x:v>
      </x:c>
      <x:c r="I20" s="45" t="str">
        <x:v>04 §3.3 · 02 요구사항, 05 데이터·API, 09 테스트·평가</x:v>
      </x:c>
      <x:c r="J20" s="45" t="str">
        <x:v>ai/data/split_dataset.py</x:v>
      </x:c>
      <x:c r="K20" s="45" t="str">
        <x:v>pytest ai/tests/ai/test_group_split.py -q</x:v>
      </x:c>
      <x:c r="L20" s="45" t="str">
        <x:v>그룹 교차 0건, 비율 보고서 생성</x:v>
      </x:c>
      <x:c r="M20" s="45" t="str">
        <x:v>Production 쓰기 없음</x:v>
      </x:c>
      <x:c r="N20" s="45" t="str">
        <x:v>완료</x:v>
      </x:c>
      <x:c r="O20" s="45" t="str">
        <x:v>ai/tests/ai/test_group_split.py: 8 passed; total=10, split=6/2/2, overlap=0</x:v>
      </x:c>
      <x:c r="P20" s="45"/>
      <x:c r="Q20" s="45" t="str">
        <x:v>공동 계약 v0.1과 해당 Fixture/Mock 준비</x:v>
      </x:c>
      <x:c r="R20" s="45" t="str">
        <x:v>다른 트랙 결과가 없으면 공동 계약 기반 Mock/Fixture로 진행하고 차단 사유를 기록</x:v>
      </x:c>
    </x:row>
    <x:row r="21" ht="72" customHeight="1">
      <x:c r="A21" s="45" t="str">
        <x:v>2일차</x:v>
      </x:c>
      <x:c r="B21" s="45" t="n">
        <x:v>4</x:v>
      </x:c>
      <x:c r="C21" s="45" t="str">
        <x:v>AI·ML</x:v>
      </x:c>
      <x:c r="D21" s="45" t="str">
        <x:v>D02-AI-04</x:v>
      </x:c>
      <x:c r="E21" s="45" t="str">
        <x:v>불균형</x:v>
      </x:c>
      <x:c r="F21" s="45" t="str">
        <x:v>Intent·Category·Issue 불균형 보고서 생성</x:v>
      </x:c>
      <x:c r="G21" s="45" t="str">
        <x:v>brand 균등화보다 업무 라벨 편향을 우선 계산하고 소수 클래스 후보를 표시한다.</x:v>
      </x:c>
      <x:c r="H21" s="45" t="str">
        <x:v>ai/evaluation/class_balance.py</x:v>
      </x:c>
      <x:c r="I21" s="45" t="str">
        <x:v>04 §3.4 · 02 요구사항, 05 데이터·API, 09 테스트·평가</x:v>
      </x:c>
      <x:c r="J21" s="45" t="str">
        <x:v>ai/evaluation/class_balance.py</x:v>
      </x:c>
      <x:c r="K21" s="45" t="str">
        <x:v>python -m ai.evaluation.class_balance --fixture</x:v>
      </x:c>
      <x:c r="L21" s="45" t="str">
        <x:v>class support와 권장 보정이 JSON/CSV로 저장</x:v>
      </x:c>
      <x:c r="M21" s="45" t="str">
        <x:v>Production 쓰기 없음</x:v>
      </x:c>
      <x:c r="N21" s="45" t="str">
        <x:v>완료</x:v>
      </x:c>
      <x:c r="O21" s="45" t="str">
        <x:v>ai/tests/ai/test_class_balance.py: 7 passed; JSON/CSV 보고서 생성</x:v>
      </x:c>
      <x:c r="P21" s="45"/>
      <x:c r="Q21" s="45" t="str">
        <x:v>공동 계약 v0.1과 해당 Fixture/Mock 준비</x:v>
      </x:c>
      <x:c r="R21" s="45" t="str">
        <x:v>다른 트랙 결과가 없으면 공동 계약 기반 Mock/Fixture로 진행하고 차단 사유를 기록</x:v>
      </x:c>
    </x:row>
    <x:row r="22" ht="72" customHeight="1">
      <x:c r="A22" s="45" t="str">
        <x:v>2일차</x:v>
      </x:c>
      <x:c r="B22" s="45" t="n">
        <x:v>5</x:v>
      </x:c>
      <x:c r="C22" s="45" t="str">
        <x:v>AI·ML</x:v>
      </x:c>
      <x:c r="D22" s="45" t="str">
        <x:v>D02-AI-05</x:v>
      </x:c>
      <x:c r="E22" s="45" t="str">
        <x:v>합성데이터</x:v>
      </x:c>
      <x:c r="F22" s="45" t="str">
        <x:v>합성 문의·관계 정답 생성 규칙 작성</x:v>
      </x:c>
      <x:c r="G22" s="45" t="str">
        <x:v>실제 레코드 치환이 아닌 새 상품·문의·관계·정답을 seed 기반으로 생성한다.</x:v>
      </x:c>
      <x:c r="H22" s="45" t="str">
        <x:v>ai/data/synthetic/generator.py</x:v>
      </x:c>
      <x:c r="I22" s="45" t="str">
        <x:v>FR-DEMO-001 · 10 §4 · 02 요구사항, 05 데이터·API, 09 테스트·평가</x:v>
      </x:c>
      <x:c r="J22" s="45" t="str">
        <x:v>ai/data/synthetic/generator.py</x:v>
      </x:c>
      <x:c r="K22" s="45" t="str">
        <x:v>pytest ai/tests/demo/test_synthetic_no_private_overlap.py -q</x:v>
      </x:c>
      <x:c r="L22" s="45" t="str">
        <x:v>동일 seed 재현, 실제 고유문자열 겹침 0건</x:v>
      </x:c>
      <x:c r="M22" s="45" t="str">
        <x:v>Production 쓰기 없음</x:v>
      </x:c>
      <x:c r="N22" s="45" t="str">
        <x:v>완료</x:v>
      </x:c>
      <x:c r="O22" s="45" t="str">
        <x:v>synthetic guard 9 passed; 동일 seed hash 일치; SANITIZED private overlap=0</x:v>
      </x:c>
      <x:c r="P22" s="45"/>
      <x:c r="Q22" s="45" t="str">
        <x:v>공동 계약 v0.1과 해당 Fixture/Mock 준비</x:v>
      </x:c>
      <x:c r="R22" s="45" t="str">
        <x:v>다른 트랙 결과가 없으면 공동 계약 기반 Mock/Fixture로 진행하고 차단 사유를 기록</x:v>
      </x:c>
    </x:row>
    <x:row r="23" ht="72" customHeight="1">
      <x:c r="A23" s="46" t="str">
        <x:v>2일차</x:v>
      </x:c>
      <x:c r="B23" s="46" t="n">
        <x:v>1</x:v>
      </x:c>
      <x:c r="C23" s="46" t="str">
        <x:v>백엔드·데이터</x:v>
      </x:c>
      <x:c r="D23" s="46" t="str">
        <x:v>D02-BE-01</x:v>
      </x:c>
      <x:c r="E23" s="46" t="str">
        <x:v>DB</x:v>
      </x:c>
      <x:c r="F23" s="46" t="str">
        <x:v>Tenant·Provider·Product·SKU 테이블 구현</x:v>
      </x:c>
      <x:c r="G23" s="46" t="str">
        <x:v>표준 ID와 외부 ID를 분리하고 tenant 경계를 모든 unique/index에 반영한다.</x:v>
      </x:c>
      <x:c r="H23" s="46" t="str">
        <x:v>backend/app/models/catalog.py</x:v>
      </x:c>
      <x:c r="I23" s="46" t="str">
        <x:v>05 §2.1 · 02 요구사항, 05 데이터·API, 09 테스트·평가</x:v>
      </x:c>
      <x:c r="J23" s="46" t="str">
        <x:v>backend/app/models/catalog.py</x:v>
      </x:c>
      <x:c r="K23" s="46" t="str">
        <x:v>pytest backend/tests/db/test_catalog_models.py -q</x:v>
      </x:c>
      <x:c r="L23" s="46" t="str">
        <x:v>tenant 간 ID 충돌 없이 migration 통과</x:v>
      </x:c>
      <x:c r="M23" s="46" t="str">
        <x:v>Production 쓰기 없음</x:v>
      </x:c>
      <x:c r="N23" s="46" t="str">
        <x:v>완료</x:v>
      </x:c>
      <x:c r="O23" s="46" t="str">
        <x:v>backend/tests/db Day 2 model suite 포함 23 passed; tenant boundary PASS</x:v>
      </x:c>
      <x:c r="P23" s="46"/>
      <x:c r="Q23" s="46" t="str">
        <x:v>공동 계약 v0.1과 해당 Fixture/Mock 준비</x:v>
      </x:c>
      <x:c r="R23" s="46" t="str">
        <x:v>다른 트랙 결과가 없으면 공동 계약 기반 Mock/Fixture로 진행하고 차단 사유를 기록</x:v>
      </x:c>
    </x:row>
    <x:row r="24" ht="72" customHeight="1">
      <x:c r="A24" s="46" t="str">
        <x:v>2일차</x:v>
      </x:c>
      <x:c r="B24" s="46" t="n">
        <x:v>2</x:v>
      </x:c>
      <x:c r="C24" s="46" t="str">
        <x:v>백엔드·데이터</x:v>
      </x:c>
      <x:c r="D24" s="46" t="str">
        <x:v>D02-BE-02</x:v>
      </x:c>
      <x:c r="E24" s="46" t="str">
        <x:v>DB</x:v>
      </x:c>
      <x:c r="F24" s="46" t="str">
        <x:v>Order·SaleEvent·Inventory 모델 구현</x:v>
      </x:c>
      <x:c r="G24" s="46" t="str">
        <x:v>주문, 판매 이벤트, snapshot, append-only ledger 구조와 제약을 만든다.</x:v>
      </x:c>
      <x:c r="H24" s="46" t="str">
        <x:v>backend/app/models/commerce.py</x:v>
      </x:c>
      <x:c r="I24" s="46" t="str">
        <x:v>FR-INV-001 · 05 §2.1 · 02 요구사항, 05 데이터·API, 09 테스트·평가</x:v>
      </x:c>
      <x:c r="J24" s="46" t="str">
        <x:v>backend/app/models/commerce.py</x:v>
      </x:c>
      <x:c r="K24" s="46" t="str">
        <x:v>pytest backend/tests/db/test_commerce_models.py -q</x:v>
      </x:c>
      <x:c r="L24" s="46" t="str">
        <x:v>음수 수량·중복 source event 제약 동작</x:v>
      </x:c>
      <x:c r="M24" s="46" t="str">
        <x:v>Production 쓰기 없음</x:v>
      </x:c>
      <x:c r="N24" s="46" t="str">
        <x:v>완료</x:v>
      </x:c>
      <x:c r="O24" s="46" t="str">
        <x:v>backend/tests/db Day 2 model suite 포함 23 passed; idempotency·append-only PASS</x:v>
      </x:c>
      <x:c r="P24" s="46"/>
      <x:c r="Q24" s="46" t="str">
        <x:v>공동 계약 v0.1과 해당 Fixture/Mock 준비</x:v>
      </x:c>
      <x:c r="R24" s="46" t="str">
        <x:v>다른 트랙 결과가 없으면 공동 계약 기반 Mock/Fixture로 진행하고 차단 사유를 기록</x:v>
      </x:c>
    </x:row>
    <x:row r="25" ht="72" customHeight="1">
      <x:c r="A25" s="46" t="str">
        <x:v>2일차</x:v>
      </x:c>
      <x:c r="B25" s="46" t="n">
        <x:v>3</x:v>
      </x:c>
      <x:c r="C25" s="46" t="str">
        <x:v>백엔드·데이터</x:v>
      </x:c>
      <x:c r="D25" s="46" t="str">
        <x:v>D02-BE-03</x:v>
      </x:c>
      <x:c r="E25" s="46" t="str">
        <x:v>DB</x:v>
      </x:c>
      <x:c r="F25" s="46" t="str">
        <x:v>Reservation·IncomingStock·Launch·Task 모델 구현</x:v>
      </x:c>
      <x:c r="G25" s="46" t="str">
        <x:v>예약→발주→입고→출고 및 일정 dependency 상태를 저장한다.</x:v>
      </x:c>
      <x:c r="H25" s="46" t="str">
        <x:v>backend/app/models/operations.py</x:v>
      </x:c>
      <x:c r="I25" s="46" t="str">
        <x:v>FR-RES-003 · FR-SCH-001 · 02 요구사항, 05 데이터·API, 09 테스트·평가</x:v>
      </x:c>
      <x:c r="J25" s="46" t="str">
        <x:v>backend/app/models/operations.py</x:v>
      </x:c>
      <x:c r="K25" s="46" t="str">
        <x:v>pytest backend/tests/db/test_operations_models.py -q</x:v>
      </x:c>
      <x:c r="L25" s="46" t="str">
        <x:v>상태 전이와 dependency 제약 통과</x:v>
      </x:c>
      <x:c r="M25" s="46" t="str">
        <x:v>Production 쓰기 없음</x:v>
      </x:c>
      <x:c r="N25" s="46" t="str">
        <x:v>완료</x:v>
      </x:c>
      <x:c r="O25" s="46" t="str">
        <x:v>backend/tests/db Day 2 model suite 포함 23 passed; 상태·cross-tenant dependency PASS</x:v>
      </x:c>
      <x:c r="P25" s="46"/>
      <x:c r="Q25" s="46" t="str">
        <x:v>공동 계약 v0.1과 해당 Fixture/Mock 준비</x:v>
      </x:c>
      <x:c r="R25" s="46" t="str">
        <x:v>다른 트랙 결과가 없으면 공동 계약 기반 Mock/Fixture로 진행하고 차단 사유를 기록</x:v>
      </x:c>
    </x:row>
    <x:row r="26" ht="72" customHeight="1">
      <x:c r="A26" s="46" t="str">
        <x:v>2일차</x:v>
      </x:c>
      <x:c r="B26" s="46" t="n">
        <x:v>4</x:v>
      </x:c>
      <x:c r="C26" s="46" t="str">
        <x:v>백엔드·데이터</x:v>
      </x:c>
      <x:c r="D26" s="46" t="str">
        <x:v>D02-BE-04</x:v>
      </x:c>
      <x:c r="E26" s="46" t="str">
        <x:v>Migration</x:v>
      </x:c>
      <x:c r="F26" s="46" t="str">
        <x:v>초기 migration과 rollback 시험</x:v>
      </x:c>
      <x:c r="G26" s="46" t="str">
        <x:v>모든 모델의 forward/rollback을 빈 DB와 seed DB에서 검증한다.</x:v>
      </x:c>
      <x:c r="H26" s="46" t="str">
        <x:v>backend/app/migrations/versions/0001_core.py</x:v>
      </x:c>
      <x:c r="I26" s="46" t="str">
        <x:v>NFR-REL-001 · 02 요구사항, 05 데이터·API, 09 테스트·평가</x:v>
      </x:c>
      <x:c r="J26" s="46" t="str">
        <x:v>backend/app/migrations/versions/0001_core.py</x:v>
      </x:c>
      <x:c r="K26" s="46" t="str">
        <x:v>make db-reset &amp;&amp; make db-migrate &amp;&amp; make db-rollback</x:v>
      </x:c>
      <x:c r="L26" s="46" t="str">
        <x:v>forward/rollback 오류 0건</x:v>
      </x:c>
      <x:c r="M26" s="46" t="str">
        <x:v>Production 쓰기 없음</x:v>
      </x:c>
      <x:c r="N26" s="46" t="str">
        <x:v>완료</x:v>
      </x:c>
      <x:c r="O26" s="46" t="str">
        <x:v>PostgreSQL 16 upgrade·downgrade·re-upgrade PASS; migration 1 passed, 1 deselected</x:v>
      </x:c>
      <x:c r="P26" s="46"/>
      <x:c r="Q26" s="46" t="str">
        <x:v>공동 계약 v0.1과 해당 Fixture/Mock 준비</x:v>
      </x:c>
      <x:c r="R26" s="46" t="str">
        <x:v>다른 트랙 결과가 없으면 공동 계약 기반 Mock/Fixture로 진행하고 차단 사유를 기록</x:v>
      </x:c>
    </x:row>
    <x:row r="27" ht="72" customHeight="1">
      <x:c r="A27" s="46" t="str">
        <x:v>2일차</x:v>
      </x:c>
      <x:c r="B27" s="46" t="n">
        <x:v>5</x:v>
      </x:c>
      <x:c r="C27" s="46" t="str">
        <x:v>백엔드·데이터</x:v>
      </x:c>
      <x:c r="D27" s="46" t="str">
        <x:v>D02-BE-05</x:v>
      </x:c>
      <x:c r="E27" s="46" t="str">
        <x:v>Demo</x:v>
      </x:c>
      <x:c r="F27" s="46" t="str">
        <x:v>6개 공개 시나리오 seed 작성</x:v>
      </x:c>
      <x:c r="G27" s="46" t="str">
        <x:v>오프라인판매, 예약부족, 입고지연, 상품문의, 위험문의, 중복이벤트를 생성한다.</x:v>
      </x:c>
      <x:c r="H27" s="46" t="str">
        <x:v>backend/app/services/demo.py</x:v>
      </x:c>
      <x:c r="I27" s="46" t="str">
        <x:v>FR-DEMO-001~002 · 02 요구사항, 05 데이터·API, 09 테스트·평가</x:v>
      </x:c>
      <x:c r="J27" s="46" t="str">
        <x:v>backend/app/services/demo.py · backend/tests/demo/test_seed_scenarios.py</x:v>
      </x:c>
      <x:c r="K27" s="46" t="str">
        <x:v>pytest backend/tests/demo/test_seed_scenarios.py -q</x:v>
      </x:c>
      <x:c r="L27" s="46" t="str">
        <x:v>각 scenario_id의 예상 상태가 fixture와 일치</x:v>
      </x:c>
      <x:c r="M27" s="46" t="str">
        <x:v>Production 쓰기 없음</x:v>
      </x:c>
      <x:c r="N27" s="46" t="str">
        <x:v>완료</x:v>
      </x:c>
      <x:c r="O27" s="46" t="str">
        <x:v>backend/tests/demo/test_seed_scenarios.py: 4 passed; 6개 deterministic scenario</x:v>
      </x:c>
      <x:c r="P27" s="46"/>
      <x:c r="Q27" s="46" t="str">
        <x:v>공동 계약 v0.1과 해당 Fixture/Mock 준비</x:v>
      </x:c>
      <x:c r="R27" s="46" t="str">
        <x:v>다른 트랙 결과가 없으면 공동 계약 기반 Mock/Fixture로 진행하고 차단 사유를 기록</x:v>
      </x:c>
    </x:row>
    <x:row r="28" ht="72" customHeight="1">
      <x:c r="A28" s="47" t="str">
        <x:v>2일차</x:v>
      </x:c>
      <x:c r="B28" s="47" t="n">
        <x:v>1</x:v>
      </x:c>
      <x:c r="C28" s="47" t="str">
        <x:v>프론트엔드·제품</x:v>
      </x:c>
      <x:c r="D28" s="47" t="str">
        <x:v>D02-FE-01</x:v>
      </x:c>
      <x:c r="E28" s="47" t="str">
        <x:v>상태</x:v>
      </x:c>
      <x:c r="F28" s="47" t="str">
        <x:v>신선도·신뢰도·위험 배지 구현</x:v>
      </x:c>
      <x:c r="G28" s="47" t="str">
        <x:v>FRESH/STALE/UNKNOWN, LOW/MEDIUM/HIGH/PROHIBITED를 색상과 텍스트로 표현한다.</x:v>
      </x:c>
      <x:c r="H28" s="47" t="str">
        <x:v>frontend/src/components/StatusBadges.tsx</x:v>
      </x:c>
      <x:c r="I28" s="47" t="str">
        <x:v>07 §13~14 · 02 요구사항, 05 데이터·API, 09 테스트·평가</x:v>
      </x:c>
      <x:c r="J28" s="47" t="str">
        <x:v>frontend/src/components/StatusBadges.tsx</x:v>
      </x:c>
      <x:c r="K28" s="47" t="str">
        <x:v>npm --prefix frontend test -- StatusBadges</x:v>
      </x:c>
      <x:c r="L28" s="47" t="str">
        <x:v>색상 없이도 상태를 구분 가능</x:v>
      </x:c>
      <x:c r="M28" s="47" t="str">
        <x:v>Production 쓰기 없음</x:v>
      </x:c>
      <x:c r="N28" s="47" t="str">
        <x:v>완료</x:v>
      </x:c>
      <x:c r="O28" s="47" t="str">
        <x:v>StatusBadges 18/18 PASS; 운영자용 한글 Label 브라우저 확인</x:v>
      </x:c>
      <x:c r="P28" s="47"/>
      <x:c r="Q28" s="47" t="str">
        <x:v>공동 계약 v0.1과 해당 Fixture/Mock 준비</x:v>
      </x:c>
      <x:c r="R28" s="47" t="str">
        <x:v>다른 트랙 결과가 없으면 공동 계약 기반 Mock/Fixture로 진행하고 차단 사유를 기록</x:v>
      </x:c>
    </x:row>
    <x:row r="29" ht="72" customHeight="1">
      <x:c r="A29" s="47" t="str">
        <x:v>2일차</x:v>
      </x:c>
      <x:c r="B29" s="47" t="n">
        <x:v>2</x:v>
      </x:c>
      <x:c r="C29" s="47" t="str">
        <x:v>프론트엔드·제품</x:v>
      </x:c>
      <x:c r="D29" s="47" t="str">
        <x:v>D02-FE-02</x:v>
      </x:c>
      <x:c r="E29" s="47" t="str">
        <x:v>근거</x:v>
      </x:c>
      <x:c r="F29" s="47" t="str">
        <x:v>근거 열기 패널 골격 구현</x:v>
      </x:c>
      <x:c r="G29" s="47" t="str">
        <x:v>source_id, as_of, 계산식, 모델·프롬프트·인덱스 버전을 표시한다.</x:v>
      </x:c>
      <x:c r="H29" s="47" t="str">
        <x:v>frontend/src/components/EvidenceDrawer.tsx</x:v>
      </x:c>
      <x:c r="I29" s="47" t="str">
        <x:v>FR-AI-001 · 07 §3 · 02 요구사항, 05 데이터·API, 09 테스트·평가</x:v>
      </x:c>
      <x:c r="J29" s="47" t="str">
        <x:v>frontend/src/components/EvidenceDrawer.tsx</x:v>
      </x:c>
      <x:c r="K29" s="47" t="str">
        <x:v>npm --prefix frontend test -- EvidenceDrawer</x:v>
      </x:c>
      <x:c r="L29" s="47" t="str">
        <x:v>Mock evidence 3종 표시</x:v>
      </x:c>
      <x:c r="M29" s="47" t="str">
        <x:v>Production 쓰기 없음</x:v>
      </x:c>
      <x:c r="N29" s="47" t="str">
        <x:v>완료</x:v>
      </x:c>
      <x:c r="O29" s="47" t="str">
        <x:v>EvidenceDrawer 15/15 PASS; focus·keyboard·empty evidence 경계 PASS</x:v>
      </x:c>
      <x:c r="P29" s="47"/>
      <x:c r="Q29" s="47" t="str">
        <x:v>공동 계약 v0.1과 해당 Fixture/Mock 준비</x:v>
      </x:c>
      <x:c r="R29" s="47" t="str">
        <x:v>다른 트랙 결과가 없으면 공동 계약 기반 Mock/Fixture로 진행하고 차단 사유를 기록</x:v>
      </x:c>
    </x:row>
    <x:row r="30" ht="72" customHeight="1">
      <x:c r="A30" s="47" t="str">
        <x:v>2일차</x:v>
      </x:c>
      <x:c r="B30" s="47" t="n">
        <x:v>3</x:v>
      </x:c>
      <x:c r="C30" s="47" t="str">
        <x:v>프론트엔드·제품</x:v>
      </x:c>
      <x:c r="D30" s="47" t="str">
        <x:v>D02-FE-03</x:v>
      </x:c>
      <x:c r="E30" s="47" t="str">
        <x:v>오류</x:v>
      </x:c>
      <x:c r="F30" s="47" t="str">
        <x:v>loading·empty·stale·denied 화면 상태 작성</x:v>
      </x:c>
      <x:c r="G30" s="47" t="str">
        <x:v>성공 화면만 만들지 말고 네 상태를 Storybook/테스트 fixture로 고정한다.</x:v>
      </x:c>
      <x:c r="H30" s="47" t="str">
        <x:v>frontend/src/components/SystemStates.tsx · frontend/src/mocks/fixtures/systemStates.ts</x:v>
      </x:c>
      <x:c r="I30" s="47" t="str">
        <x:v>07 §13 · 02 요구사항, 05 데이터·API, 09 테스트·평가</x:v>
      </x:c>
      <x:c r="J30" s="47" t="str">
        <x:v>frontend/src/components/SystemStates.tsx · frontend/src/mocks/fixtures/systemStates.ts</x:v>
      </x:c>
      <x:c r="K30" s="47" t="str">
        <x:v>npm --prefix frontend test -- SystemStates</x:v>
      </x:c>
      <x:c r="L30" s="47" t="str">
        <x:v>4개 상태 스냅샷 존재</x:v>
      </x:c>
      <x:c r="M30" s="47" t="str">
        <x:v>Production 쓰기 없음</x:v>
      </x:c>
      <x:c r="N30" s="47" t="str">
        <x:v>완료</x:v>
      </x:c>
      <x:c r="O30" s="47" t="str">
        <x:v>SystemStates 12/12 PASS; frontend 전체 74/74; production build PASS</x:v>
      </x:c>
      <x:c r="P30" s="47"/>
      <x:c r="Q30" s="47" t="str">
        <x:v>공동 계약 v0.1과 해당 Fixture/Mock 준비</x:v>
      </x:c>
      <x:c r="R30" s="47" t="str">
        <x:v>다른 트랙 결과가 없으면 공동 계약 기반 Mock/Fixture로 진행하고 차단 사유를 기록</x:v>
      </x:c>
    </x:row>
    <x:row r="31" ht="72" customHeight="1">
      <x:c r="A31" s="45" t="str">
        <x:v>3일차</x:v>
      </x:c>
      <x:c r="B31" s="45" t="n">
        <x:v>1</x:v>
      </x:c>
      <x:c r="C31" s="45" t="str">
        <x:v>AI·ML</x:v>
      </x:c>
      <x:c r="D31" s="45" t="str">
        <x:v>D03-AI-01</x:v>
      </x:c>
      <x:c r="E31" s="45" t="str">
        <x:v>프롬프트</x:v>
      </x:c>
      <x:c r="F31" s="45" t="str">
        <x:v>문의 분류 Zero-shot 기준선 작성</x:v>
      </x:c>
      <x:c r="G31" s="45" t="str">
        <x:v>intent/entities/risk를 JSON으로 반환하는 최소 지시와 오류 fallback을 만든다.</x:v>
      </x:c>
      <x:c r="H31" s="45" t="str">
        <x:v>ai/prompts/inquiry/v0_zero_shot.yaml</x:v>
      </x:c>
      <x:c r="I31" s="45" t="str">
        <x:v>PROMPT-01 · FR-CS-001 · 04 AI 설계 §4, 05 API, 07 화면, 09 평가</x:v>
      </x:c>
      <x:c r="J31" s="45" t="str">
        <x:v>ai/prompts/inquiry/v0_zero_shot.yaml</x:v>
      </x:c>
      <x:c r="K31" s="45" t="str">
        <x:v>make eval-prompt EXP=PROMPT-01 VARIANT=zero</x:v>
      </x:c>
      <x:c r="L31" s="45" t="str">
        <x:v>Intent/Entity/JSON/비용 기준 결과 저장</x:v>
      </x:c>
      <x:c r="M31" s="45" t="str">
        <x:v>Production 쓰기 없음</x:v>
      </x:c>
      <x:c r="N31" s="45" t="str">
        <x:v>완료</x:v>
      </x:c>
      <x:c r="O31" s="45" t="str">
        <x:v>Zero-shot: Macro/Micro F1=1.0, Entity F1=0.5, JSON=1.0, cost=$0.001551</x:v>
      </x:c>
      <x:c r="P31" s="45"/>
      <x:c r="Q31" s="45" t="str">
        <x:v>공동 계약 v0.1과 해당 Fixture/Mock 준비</x:v>
      </x:c>
      <x:c r="R31" s="45" t="str">
        <x:v>다른 트랙 결과가 없으면 공동 계약 기반 Mock/Fixture로 진행하고 차단 사유를 기록</x:v>
      </x:c>
    </x:row>
    <x:row r="32" ht="72" customHeight="1">
      <x:c r="A32" s="45" t="str">
        <x:v>3일차</x:v>
      </x:c>
      <x:c r="B32" s="45" t="n">
        <x:v>2</x:v>
      </x:c>
      <x:c r="C32" s="45" t="str">
        <x:v>AI·ML</x:v>
      </x:c>
      <x:c r="D32" s="45" t="str">
        <x:v>D03-AI-02</x:v>
      </x:c>
      <x:c r="E32" s="45" t="str">
        <x:v>프롬프트</x:v>
      </x:c>
      <x:c r="F32" s="45" t="str">
        <x:v>Structured Prompt 후보 작성</x:v>
      </x:c>
      <x:c r="G32" s="45" t="str">
        <x:v>역할, 작업지시, 허용 라벨, 출력 schema, 고위험 라우팅을 분리한다.</x:v>
      </x:c>
      <x:c r="H32" s="45" t="str">
        <x:v>ai/prompts/inquiry/v1_structured.yaml</x:v>
      </x:c>
      <x:c r="I32" s="45" t="str">
        <x:v>04 §4.1~2 · 04 AI 설계 §4, 05 API, 07 화면, 09 평가</x:v>
      </x:c>
      <x:c r="J32" s="45" t="str">
        <x:v>ai/prompts/inquiry/v1_structured.yaml</x:v>
      </x:c>
      <x:c r="K32" s="45" t="str">
        <x:v>make eval-prompt EXP=PROMPT-01 VARIANT=structured</x:v>
      </x:c>
      <x:c r="L32" s="45" t="str">
        <x:v>동일 시험세트 결과 저장</x:v>
      </x:c>
      <x:c r="M32" s="45" t="str">
        <x:v>Production 쓰기 없음</x:v>
      </x:c>
      <x:c r="N32" s="45" t="str">
        <x:v>완료</x:v>
      </x:c>
      <x:c r="O32" s="45" t="str">
        <x:v>Structured: Macro F1=0.8333, Entity F1=0.4706, JSON=1.0, cost=$0.0026458</x:v>
      </x:c>
      <x:c r="P32" s="45"/>
      <x:c r="Q32" s="45" t="str">
        <x:v>공동 계약 v0.1과 해당 Fixture/Mock 준비</x:v>
      </x:c>
      <x:c r="R32" s="45" t="str">
        <x:v>다른 트랙 결과가 없으면 공동 계약 기반 Mock/Fixture로 진행하고 차단 사유를 기록</x:v>
      </x:c>
    </x:row>
    <x:row r="33" ht="72" customHeight="1">
      <x:c r="A33" s="45" t="str">
        <x:v>3일차</x:v>
      </x:c>
      <x:c r="B33" s="45" t="n">
        <x:v>3</x:v>
      </x:c>
      <x:c r="C33" s="45" t="str">
        <x:v>AI·ML</x:v>
      </x:c>
      <x:c r="D33" s="45" t="str">
        <x:v>D03-AI-03</x:v>
      </x:c>
      <x:c r="E33" s="45" t="str">
        <x:v>프롬프트</x:v>
      </x:c>
      <x:c r="F33" s="45" t="str">
        <x:v>Few-shot 후보 작성</x:v>
      </x:c>
      <x:c r="G33" s="45" t="str">
        <x:v>혼동이 큰 5~8개 사례만 예시로 넣고 시험세트와 중복되지 않게 한다.</x:v>
      </x:c>
      <x:c r="H33" s="45" t="str">
        <x:v>ai/prompts/inquiry/v2_fewshot.yaml</x:v>
      </x:c>
      <x:c r="I33" s="45" t="str">
        <x:v>04 §4.1 · 04 AI 설계 §4, 05 API, 07 화면, 09 평가</x:v>
      </x:c>
      <x:c r="J33" s="45" t="str">
        <x:v>ai/prompts/inquiry/v2_fewshot.yaml</x:v>
      </x:c>
      <x:c r="K33" s="45" t="str">
        <x:v>make eval-prompt EXP=PROMPT-01 VARIANT=fewshot</x:v>
      </x:c>
      <x:c r="L33" s="45" t="str">
        <x:v>예시 누출 검사와 결과 저장</x:v>
      </x:c>
      <x:c r="M33" s="45" t="str">
        <x:v>Production 쓰기 없음</x:v>
      </x:c>
      <x:c r="N33" s="45" t="str">
        <x:v>완료</x:v>
      </x:c>
      <x:c r="O33" s="45" t="str">
        <x:v>Few-shot: Entity F1=0.8889; leakage 5 passed; cost=$0.003441</x:v>
      </x:c>
      <x:c r="P33" s="45"/>
      <x:c r="Q33" s="45" t="str">
        <x:v>공동 계약 v0.1과 해당 Fixture/Mock 준비</x:v>
      </x:c>
      <x:c r="R33" s="45" t="str">
        <x:v>다른 트랙 결과가 없으면 공동 계약 기반 Mock/Fixture로 진행하고 차단 사유를 기록</x:v>
      </x:c>
    </x:row>
    <x:row r="34" ht="72" customHeight="1">
      <x:c r="A34" s="45" t="str">
        <x:v>3일차</x:v>
      </x:c>
      <x:c r="B34" s="45" t="n">
        <x:v>4</x:v>
      </x:c>
      <x:c r="C34" s="45" t="str">
        <x:v>AI·ML</x:v>
      </x:c>
      <x:c r="D34" s="45" t="str">
        <x:v>D03-AI-04</x:v>
      </x:c>
      <x:c r="E34" s="45" t="str">
        <x:v>평가</x:v>
      </x:c>
      <x:c r="F34" s="45" t="str">
        <x:v>프롬프트 비교 실행기 구현</x:v>
      </x:c>
      <x:c r="G34" s="45" t="str">
        <x:v>같은 모델·seed·temperature·시험세트로 variant를 실행하고 F1/JSON/latency/cost를 집계한다.</x:v>
      </x:c>
      <x:c r="H34" s="45" t="str">
        <x:v>ai/evaluation/run_prompt_eval.py · ai/evaluation/openai_prompt_runner.py</x:v>
      </x:c>
      <x:c r="I34" s="45" t="str">
        <x:v>09 §5.1 · 04 AI 설계 §4, 05 API, 07 화면, 09 평가</x:v>
      </x:c>
      <x:c r="J34" s="45" t="str">
        <x:v>artifacts/experiments/day03/</x:v>
      </x:c>
      <x:c r="K34" s="45" t="str">
        <x:v>pytest ai/tests/ai/test_prompt_eval_runner.py -q</x:v>
      </x:c>
      <x:c r="L34" s="45" t="str">
        <x:v>재실행 시 동일 설정과 결과 manifest 생성</x:v>
      </x:c>
      <x:c r="M34" s="45" t="str">
        <x:v>Production 쓰기 없음</x:v>
      </x:c>
      <x:c r="N34" s="45" t="str">
        <x:v>완료</x:v>
      </x:c>
      <x:c r="O34" s="45" t="str">
        <x:v>test_prompt_eval_runner.py: 7 passed; 3개 variant Metric·latency·token·cost 저장</x:v>
      </x:c>
      <x:c r="P34" s="45"/>
      <x:c r="Q34" s="45" t="str">
        <x:v>공동 계약 v0.1과 해당 Fixture/Mock 준비</x:v>
      </x:c>
      <x:c r="R34" s="45" t="str">
        <x:v>다른 트랙 결과가 없으면 공동 계약 기반 Mock/Fixture로 진행하고 차단 사유를 기록</x:v>
      </x:c>
    </x:row>
    <x:row r="35" ht="72" customHeight="1">
      <x:c r="A35" s="45" t="str">
        <x:v>3일차</x:v>
      </x:c>
      <x:c r="B35" s="45" t="n">
        <x:v>5</x:v>
      </x:c>
      <x:c r="C35" s="45" t="str">
        <x:v>AI·ML</x:v>
      </x:c>
      <x:c r="D35" s="45" t="str">
        <x:v>D03-AI-05</x:v>
      </x:c>
      <x:c r="E35" s="45" t="str">
        <x:v>오류분석</x:v>
      </x:c>
      <x:c r="F35" s="45" t="str">
        <x:v>프롬프트 오류 분류 템플릿 작성</x:v>
      </x:c>
      <x:c r="G35" s="45" t="str">
        <x:v>wrong intent, entity miss, schema, unsafe route, over-answer를 사례별로 기록한다.</x:v>
      </x:c>
      <x:c r="H35" s="45" t="str">
        <x:v>ai/evaluation/templates/prompt_error_analysis.md · ai/evaluation/analyze_prompt_errors.py</x:v>
      </x:c>
      <x:c r="I35" s="45" t="str">
        <x:v>04 §12.2 · 04 AI 설계 §4, 05 API, 07 화면, 09 평가</x:v>
      </x:c>
      <x:c r="J35" s="45" t="str">
        <x:v>artifacts/experiments/day03/prompt_error_analysis.md</x:v>
      </x:c>
      <x:c r="K35" s="45" t="str">
        <x:v>python -m ai.evaluation.check_error_report --template prompt</x:v>
      </x:c>
      <x:c r="L35" s="45" t="str">
        <x:v>오류 예시 5건이 분류 가능</x:v>
      </x:c>
      <x:c r="M35" s="45" t="str">
        <x:v>Production 쓰기 없음</x:v>
      </x:c>
      <x:c r="N35" s="45" t="str">
        <x:v>완료</x:v>
      </x:c>
      <x:c r="O35" s="45" t="str">
        <x:v>ERROR_ANALYSIS_REPORT_OK; ERROR_CASES=6; prompt_error_analysis.md</x:v>
      </x:c>
      <x:c r="P35" s="45"/>
      <x:c r="Q35" s="45" t="str">
        <x:v>공동 계약 v0.1과 해당 Fixture/Mock 준비</x:v>
      </x:c>
      <x:c r="R35" s="45" t="str">
        <x:v>다른 트랙 결과가 없으면 공동 계약 기반 Mock/Fixture로 진행하고 차단 사유를 기록</x:v>
      </x:c>
    </x:row>
    <x:row r="36" ht="72" customHeight="1">
      <x:c r="A36" s="46" t="str">
        <x:v>3일차</x:v>
      </x:c>
      <x:c r="B36" s="46" t="n">
        <x:v>1</x:v>
      </x:c>
      <x:c r="C36" s="46" t="str">
        <x:v>백엔드·데이터</x:v>
      </x:c>
      <x:c r="D36" s="46" t="str">
        <x:v>D03-BE-01</x:v>
      </x:c>
      <x:c r="E36" s="46" t="str">
        <x:v>연동</x:v>
      </x:c>
      <x:c r="F36" s="46" t="str">
        <x:v>Provider read 인터페이스 구현</x:v>
      </x:c>
      <x:c r="G36" s="46" t="str">
        <x:v>list_orders, list_products, list_inventory, list_inquiries와 cursor/rate-limit/error를 타입화한다.</x:v>
      </x:c>
      <x:c r="H36" s="46" t="str">
        <x:v>backend/app/adapters/providers/base.py · backend/app/adapters/providers/mock.py</x:v>
      </x:c>
      <x:c r="I36" s="46" t="str">
        <x:v>FR-INT-001~003 · 04 AI 설계 §4, 05 API, 07 화면, 09 평가</x:v>
      </x:c>
      <x:c r="J36" s="46" t="str">
        <x:v>backend/app/adapters/providers/base.py · backend/app/adapters/providers/mock.py</x:v>
      </x:c>
      <x:c r="K36" s="46" t="str">
        <x:v>pytest backend/tests/providers/test_provider_contract.py -q</x:v>
      </x:c>
      <x:c r="L36" s="46" t="str">
        <x:v>세 Mock이 공통 계약 테스트 통과</x:v>
      </x:c>
      <x:c r="M36" s="46" t="str">
        <x:v>Production 쓰기 없음</x:v>
      </x:c>
      <x:c r="N36" s="46" t="str">
        <x:v>완료</x:v>
      </x:c>
      <x:c r="O36" s="46" t="str">
        <x:v>Provider suite 17 passed; 3 Provider pagination·cursor·failure 경계 PASS</x:v>
      </x:c>
      <x:c r="P36" s="46"/>
      <x:c r="Q36" s="46" t="str">
        <x:v>공동 계약 v0.1과 해당 Fixture/Mock 준비</x:v>
      </x:c>
      <x:c r="R36" s="46" t="str">
        <x:v>다른 트랙 결과가 없으면 공동 계약 기반 Mock/Fixture로 진행하고 차단 사유를 기록</x:v>
      </x:c>
    </x:row>
    <x:row r="37" ht="72" customHeight="1">
      <x:c r="A37" s="46" t="str">
        <x:v>3일차</x:v>
      </x:c>
      <x:c r="B37" s="46" t="n">
        <x:v>2</x:v>
      </x:c>
      <x:c r="C37" s="46" t="str">
        <x:v>백엔드·데이터</x:v>
      </x:c>
      <x:c r="D37" s="46" t="str">
        <x:v>D03-BE-02</x:v>
      </x:c>
      <x:c r="E37" s="46" t="str">
        <x:v>수집</x:v>
      </x:c>
      <x:c r="F37" s="46" t="str">
        <x:v>Event Inbox 저장 로직 구현</x:v>
      </x:c>
      <x:c r="G37" s="46" t="str">
        <x:v>원본 payload는 보호 저장소 참조로 두고 event envelope와 hash를 DB에 기록한다.</x:v>
      </x:c>
      <x:c r="H37" s="46" t="str">
        <x:v>backend/app/services/ingestion/inbox.py</x:v>
      </x:c>
      <x:c r="I37" s="46" t="str">
        <x:v>FR-INT-004 · 04 AI 설계 §4, 05 API, 07 화면, 09 평가</x:v>
      </x:c>
      <x:c r="J37" s="46" t="str">
        <x:v>backend/app/services/ingestion/inbox.py</x:v>
      </x:c>
      <x:c r="K37" s="46" t="str">
        <x:v>pytest backend/tests/ingestion/test_inbox.py -q</x:v>
      </x:c>
      <x:c r="L37" s="46" t="str">
        <x:v>원본추적 가능, PII 로그 0건</x:v>
      </x:c>
      <x:c r="M37" s="46" t="str">
        <x:v>Production 쓰기 없음</x:v>
      </x:c>
      <x:c r="N37" s="46" t="str">
        <x:v>완료</x:v>
      </x:c>
      <x:c r="O37" s="46" t="str">
        <x:v>Ingestion suite 10 passed; DB persist·hash·protected reference; raw PII 0</x:v>
      </x:c>
      <x:c r="P37" s="46"/>
      <x:c r="Q37" s="46" t="str">
        <x:v>공동 계약 v0.1과 해당 Fixture/Mock 준비</x:v>
      </x:c>
      <x:c r="R37" s="46" t="str">
        <x:v>다른 트랙 결과가 없으면 공동 계약 기반 Mock/Fixture로 진행하고 차단 사유를 기록</x:v>
      </x:c>
    </x:row>
    <x:row r="38" ht="72" customHeight="1">
      <x:c r="A38" s="46" t="str">
        <x:v>3일차</x:v>
      </x:c>
      <x:c r="B38" s="46" t="n">
        <x:v>3</x:v>
      </x:c>
      <x:c r="C38" s="46" t="str">
        <x:v>백엔드·데이터</x:v>
      </x:c>
      <x:c r="D38" s="46" t="str">
        <x:v>D03-BE-03</x:v>
      </x:c>
      <x:c r="E38" s="46" t="str">
        <x:v>중복방지</x:v>
      </x:c>
      <x:c r="F38" s="46" t="str">
        <x:v>idempotency key와 중복 이벤트 차단</x:v>
      </x:c>
      <x:c r="G38" s="46" t="str">
        <x:v>tenant/provider/event_id/schema_version 조합으로 동일 이벤트 효과를 1회로 제한한다.</x:v>
      </x:c>
      <x:c r="H38" s="46" t="str">
        <x:v>backend/app/services/demo.py · backend/tests/ingestion/test_idempotency.py</x:v>
      </x:c>
      <x:c r="I38" s="46" t="str">
        <x:v>FR-INT-006 · 04 AI 설계 §4, 05 API, 07 화면, 09 평가</x:v>
      </x:c>
      <x:c r="J38" s="46" t="str">
        <x:v>backend/app/services/demo.py · backend/tests/ingestion/test_idempotency.py</x:v>
      </x:c>
      <x:c r="K38" s="46" t="str">
        <x:v>pytest backend/tests/ingestion/test_idempotency.py -q</x:v>
      </x:c>
      <x:c r="L38" s="46" t="str">
        <x:v>2회·10회 재처리 효과 count=1</x:v>
      </x:c>
      <x:c r="M38" s="46" t="str">
        <x:v>Production 쓰기 없음</x:v>
      </x:c>
      <x:c r="N38" s="46" t="str">
        <x:v>완료</x:v>
      </x:c>
      <x:c r="O38" s="46" t="str">
        <x:v>2회·10회 replay effect=1; tenant·schema_version·consumer 경계 PASS</x:v>
      </x:c>
      <x:c r="P38" s="46"/>
      <x:c r="Q38" s="46" t="str">
        <x:v>공동 계약 v0.1과 해당 Fixture/Mock 준비</x:v>
      </x:c>
      <x:c r="R38" s="46" t="str">
        <x:v>다른 트랙 결과가 없으면 공동 계약 기반 Mock/Fixture로 진행하고 차단 사유를 기록</x:v>
      </x:c>
    </x:row>
    <x:row r="39" ht="72" customHeight="1">
      <x:c r="A39" s="46" t="str">
        <x:v>3일차</x:v>
      </x:c>
      <x:c r="B39" s="46" t="n">
        <x:v>4</x:v>
      </x:c>
      <x:c r="C39" s="46" t="str">
        <x:v>백엔드·데이터</x:v>
      </x:c>
      <x:c r="D39" s="46" t="str">
        <x:v>D03-BE-04</x:v>
      </x:c>
      <x:c r="E39" s="46" t="str">
        <x:v>계약테스트</x:v>
      </x:c>
      <x:c r="F39" s="46" t="str">
        <x:v>OpenAPI와 계약 예시 자동 검사</x:v>
      </x:c>
      <x:c r="G39" s="46" t="str">
        <x:v>API 스키마 변경 시 AI/화면 Mock과 breaking diff를 CI에서 실패시킨다.</x:v>
      </x:c>
      <x:c r="H39" s="46" t="str">
        <x:v>contracts/tests/test_openapi_snapshot.py · contracts/snapshots/openapi_signature.json</x:v>
      </x:c>
      <x:c r="I39" s="46" t="str">
        <x:v>NFR-COMP-001 · 04 AI 설계 §4, 05 API, 07 화면, 09 평가</x:v>
      </x:c>
      <x:c r="J39" s="46" t="str">
        <x:v>contracts/tests/test_openapi_snapshot.py · contracts/snapshots/openapi_signature.json</x:v>
      </x:c>
      <x:c r="K39" s="46" t="str">
        <x:v>make contract-test</x:v>
      </x:c>
      <x:c r="L39" s="46" t="str">
        <x:v>breaking diff 0건</x:v>
      </x:c>
      <x:c r="M39" s="46" t="str">
        <x:v>Production 쓰기 없음</x:v>
      </x:c>
      <x:c r="N39" s="46" t="str">
        <x:v>완료</x:v>
      </x:c>
      <x:c r="O39" s="46" t="str">
        <x:v>OpenAPI snapshot 1 passed; frontend consumer contract 7 passed; breaking diff=0</x:v>
      </x:c>
      <x:c r="P39" s="46"/>
      <x:c r="Q39" s="46" t="str">
        <x:v>공동 계약 v0.1과 해당 Fixture/Mock 준비</x:v>
      </x:c>
      <x:c r="R39" s="46" t="str">
        <x:v>다른 트랙 결과가 없으면 공동 계약 기반 Mock/Fixture로 진행하고 차단 사유를 기록</x:v>
      </x:c>
    </x:row>
    <x:row r="40" ht="72" customHeight="1">
      <x:c r="A40" s="46" t="str">
        <x:v>3일차</x:v>
      </x:c>
      <x:c r="B40" s="46" t="n">
        <x:v>5</x:v>
      </x:c>
      <x:c r="C40" s="46" t="str">
        <x:v>백엔드·데이터</x:v>
      </x:c>
      <x:c r="D40" s="46" t="str">
        <x:v>D03-BE-05</x:v>
      </x:c>
      <x:c r="E40" s="46" t="str">
        <x:v>관측성</x:v>
      </x:c>
      <x:c r="F40" s="46" t="str">
        <x:v>correlation_id·request_id 로깅 기반</x:v>
      </x:c>
      <x:c r="G40" s="46" t="str">
        <x:v>수집부터 API까지 같은 ID와 tenant/environment를 구조화 로그에 넣는다.</x:v>
      </x:c>
      <x:c r="H40" s="46" t="str">
        <x:v>backend/app/core/observability.py · backend/app/services/offline_sale.py · backend/app/api/demo.py</x:v>
      </x:c>
      <x:c r="I40" s="46" t="str">
        <x:v>NFR-OBS-001 · 04 AI 설계 §4, 05 API, 07 화면, 09 평가</x:v>
      </x:c>
      <x:c r="J40" s="46" t="str">
        <x:v>backend/app/core/observability.py · backend/tests/observability/test_correlation.py</x:v>
      </x:c>
      <x:c r="K40" s="46" t="str">
        <x:v>pytest backend/tests/observability/test_correlation.py -q</x:v>
      </x:c>
      <x:c r="L40" s="46" t="str">
        <x:v>샘플 흐름을 한 ID로 검색 가능</x:v>
      </x:c>
      <x:c r="M40" s="46" t="str">
        <x:v>Production 쓰기 없음</x:v>
      </x:c>
      <x:c r="N40" s="46" t="str">
        <x:v>완료</x:v>
      </x:c>
      <x:c r="O40" s="46" t="str">
        <x:v>Observability 9 passed; HTTP→pipeline→log ID 일치; nested Secret/PII 0</x:v>
      </x:c>
      <x:c r="P40" s="46"/>
      <x:c r="Q40" s="46" t="str">
        <x:v>공동 계약 v0.1과 해당 Fixture/Mock 준비</x:v>
      </x:c>
      <x:c r="R40" s="46" t="str">
        <x:v>다른 트랙 결과가 없으면 공동 계약 기반 Mock/Fixture로 진행하고 차단 사유를 기록</x:v>
      </x:c>
    </x:row>
    <x:row r="41" ht="72" customHeight="1">
      <x:c r="A41" s="47" t="str">
        <x:v>3일차</x:v>
      </x:c>
      <x:c r="B41" s="47" t="n">
        <x:v>1</x:v>
      </x:c>
      <x:c r="C41" s="47" t="str">
        <x:v>프론트엔드·제품</x:v>
      </x:c>
      <x:c r="D41" s="47" t="str">
        <x:v>D03-FE-01</x:v>
      </x:c>
      <x:c r="E41" s="47" t="str">
        <x:v>홈</x:v>
      </x:c>
      <x:c r="F41" s="47" t="str">
        <x:v>긴급 Queue와 오늘 할 일 목록 구현</x:v>
      </x:c>
      <x:c r="G41" s="47" t="str">
        <x:v>예약부족·재고불일치·일정충돌 fixture를 severity와 이유로 정렬한다.</x:v>
      </x:c>
      <x:c r="H41" s="47" t="str">
        <x:v>frontend/src/app/pages/DashboardPage.tsx · frontend/src/components/UrgentQueue.tsx · frontend/src/components/TodayTasks.tsx</x:v>
      </x:c>
      <x:c r="I41" s="47" t="str">
        <x:v>07 §4 · 04 AI 설계 §4, 05 API, 07 화면, 09 평가</x:v>
      </x:c>
      <x:c r="J41" s="47" t="str">
        <x:v>frontend/src/components/UrgentQueue.tsx · frontend/src/components/TodayTasks.tsx</x:v>
      </x:c>
      <x:c r="K41" s="47" t="str">
        <x:v>npm --prefix frontend test -- HomePage</x:v>
      </x:c>
      <x:c r="L41" s="47" t="str">
        <x:v>3종 위험 카드가 정렬 기준과 함께 표시</x:v>
      </x:c>
      <x:c r="M41" s="47" t="str">
        <x:v>Production 쓰기 없음</x:v>
      </x:c>
      <x:c r="N41" s="47" t="str">
        <x:v>완료</x:v>
      </x:c>
      <x:c r="O41" s="47" t="str">
        <x:v>3종 위험 카드 정렬·TodayTasks 수동 확인; frontend 전체 102/102 PASS</x:v>
      </x:c>
      <x:c r="P41" s="47"/>
      <x:c r="Q41" s="47" t="str">
        <x:v>공동 계약 v0.1과 해당 Fixture/Mock 준비</x:v>
      </x:c>
      <x:c r="R41" s="47" t="str">
        <x:v>다른 트랙 결과가 없으면 공동 계약 기반 Mock/Fixture로 진행하고 차단 사유를 기록</x:v>
      </x:c>
    </x:row>
    <x:row r="42" ht="72" customHeight="1">
      <x:c r="A42" s="47" t="str">
        <x:v>3일차</x:v>
      </x:c>
      <x:c r="B42" s="47" t="n">
        <x:v>2</x:v>
      </x:c>
      <x:c r="C42" s="47" t="str">
        <x:v>프론트엔드·제품</x:v>
      </x:c>
      <x:c r="D42" s="47" t="str">
        <x:v>D03-FE-02</x:v>
      </x:c>
      <x:c r="E42" s="47" t="str">
        <x:v>추적</x:v>
      </x:c>
      <x:c r="F42" s="47" t="str">
        <x:v>request_id 기반 근거 패널 연결</x:v>
      </x:c>
      <x:c r="G42" s="47" t="str">
        <x:v>카드 클릭 시 source, 계산, model/prompt version을 Mock에서 불러온다.</x:v>
      </x:c>
      <x:c r="H42" s="47" t="str">
        <x:v>frontend/src/mocks/evidence.ts · frontend/src/components/EvidenceDrawer.tsx</x:v>
      </x:c>
      <x:c r="I42" s="47" t="str">
        <x:v>FR-AI-001 · 04 AI 설계 §4, 05 API, 07 화면, 09 평가</x:v>
      </x:c>
      <x:c r="J42" s="47" t="str">
        <x:v>frontend/src/mocks/evidence.ts · frontend/src/components/EvidenceDrawer.tsx</x:v>
      </x:c>
      <x:c r="K42" s="47" t="str">
        <x:v>npm --prefix frontend test -- evidence-flow</x:v>
      </x:c>
      <x:c r="L42" s="47" t="str">
        <x:v>카드→근거패널 흐름 통과</x:v>
      </x:c>
      <x:c r="M42" s="47" t="str">
        <x:v>Production 쓰기 없음</x:v>
      </x:c>
      <x:c r="N42" s="47" t="str">
        <x:v>완료</x:v>
      </x:c>
      <x:c r="O42" s="47" t="str">
        <x:v>request_id→mock evidence→EvidenceDrawer 흐름과 브라우저 수동 확인 PASS</x:v>
      </x:c>
      <x:c r="P42" s="47"/>
      <x:c r="Q42" s="47" t="str">
        <x:v>공동 계약 v0.1과 해당 Fixture/Mock 준비</x:v>
      </x:c>
      <x:c r="R42" s="47" t="str">
        <x:v>다른 트랙 결과가 없으면 공동 계약 기반 Mock/Fixture로 진행하고 차단 사유를 기록</x:v>
      </x:c>
    </x:row>
    <x:row r="43" ht="72" customHeight="1">
      <x:c r="A43" s="47" t="str">
        <x:v>3일차</x:v>
      </x:c>
      <x:c r="B43" s="47" t="n">
        <x:v>3</x:v>
      </x:c>
      <x:c r="C43" s="47" t="str">
        <x:v>프론트엔드·제품</x:v>
      </x:c>
      <x:c r="D43" s="47" t="str">
        <x:v>D03-FE-03</x:v>
      </x:c>
      <x:c r="E43" s="47" t="str">
        <x:v>접근성</x:v>
      </x:c>
      <x:c r="F43" s="47" t="str">
        <x:v>키보드·라벨·빈 상태 점검</x:v>
      </x:c>
      <x:c r="G43" s="47" t="str">
        <x:v>긴급 Queue와 근거 패널을 키보드만으로 사용하고 상태를 문장으로 읽게 한다.</x:v>
      </x:c>
      <x:c r="H43" s="47" t="str">
        <x:v>frontend/tests/a11y.test.tsx · frontend/src/components/EvidenceDrawer.tsx</x:v>
      </x:c>
      <x:c r="I43" s="47" t="str">
        <x:v>07 §15 · 04 AI 설계 §4, 05 API, 07 화면, 09 평가</x:v>
      </x:c>
      <x:c r="J43" s="47" t="str">
        <x:v>frontend/tests/a11y.test.tsx</x:v>
      </x:c>
      <x:c r="K43" s="47" t="str">
        <x:v>npm --prefix frontend test -- a11y</x:v>
      </x:c>
      <x:c r="L43" s="47" t="str">
        <x:v>critical 접근성 오류 0건</x:v>
      </x:c>
      <x:c r="M43" s="47" t="str">
        <x:v>Production 쓰기 없음</x:v>
      </x:c>
      <x:c r="N43" s="47" t="str">
        <x:v>완료</x:v>
      </x:c>
      <x:c r="O43" s="47" t="str">
        <x:v>a11y 8/8 PASS; keyboard·aria·focus 수동 확인; production build PASS</x:v>
      </x:c>
      <x:c r="P43" s="47"/>
      <x:c r="Q43" s="47" t="str">
        <x:v>공동 계약 v0.1과 해당 Fixture/Mock 준비</x:v>
      </x:c>
      <x:c r="R43" s="47" t="str">
        <x:v>다른 트랙 결과가 없으면 공동 계약 기반 Mock/Fixture로 진행하고 차단 사유를 기록</x:v>
      </x:c>
    </x:row>
    <x:row r="44" ht="72" customHeight="1">
      <x:c r="A44" s="45" t="str">
        <x:v>4일차</x:v>
      </x:c>
      <x:c r="B44" s="45" t="n">
        <x:v>1</x:v>
      </x:c>
      <x:c r="C44" s="45" t="str">
        <x:v>AI·ML</x:v>
      </x:c>
      <x:c r="D44" s="45" t="str">
        <x:v>D04-AI-01</x:v>
      </x:c>
      <x:c r="E44" s="45" t="str">
        <x:v>평가</x:v>
      </x:c>
      <x:c r="F44" s="45" t="str">
        <x:v>Zero-shot·Structured·Few-shot 결과 비교</x:v>
      </x:c>
      <x:c r="G44" s="45" t="str">
        <x:v>F1, JSON 유효율, 고위험 라우팅, 비용을 같은 표에 정리한다.</x:v>
      </x:c>
      <x:c r="H44" s="45" t="str">
        <x:v>artifacts/experiments/PROMPT-01/result.json</x:v>
      </x:c>
      <x:c r="I44" s="45" t="str">
        <x:v>PROMPT-01 · 03 아키텍처, 05 API, 06 안전, 09 Day 4</x:v>
      </x:c>
      <x:c r="J44" s="45" t="str">
        <x:v>artifacts/experiments/PROMPT-01/result.json</x:v>
      </x:c>
      <x:c r="K44" s="45" t="str">
        <x:v>make eval-report EXP=PROMPT-01</x:v>
      </x:c>
      <x:c r="L44" s="45" t="str">
        <x:v>수치·95% CI·오류 사례·임시 채택안 존재</x:v>
      </x:c>
      <x:c r="M44" s="45" t="str">
        <x:v>Production 쓰기 없음</x:v>
      </x:c>
      <x:c r="N44" s="45" t="str">
        <x:v>미착수</x:v>
      </x:c>
      <x:c r="O44" s="45"/>
      <x:c r="P44" s="45"/>
      <x:c r="Q44" s="45" t="str">
        <x:v>공동 계약 v0.1과 해당 Fixture/Mock 준비</x:v>
      </x:c>
      <x:c r="R44" s="45" t="str">
        <x:v>다른 트랙 결과가 없으면 공동 계약 기반 Mock/Fixture로 진행하고 차단 사유를 기록</x:v>
      </x:c>
    </x:row>
    <x:row r="45" ht="72" customHeight="1">
      <x:c r="A45" s="45" t="str">
        <x:v>4일차</x:v>
      </x:c>
      <x:c r="B45" s="45" t="n">
        <x:v>2</x:v>
      </x:c>
      <x:c r="C45" s="45" t="str">
        <x:v>AI·ML</x:v>
      </x:c>
      <x:c r="D45" s="45" t="str">
        <x:v>D04-AI-02</x:v>
      </x:c>
      <x:c r="E45" s="45" t="str">
        <x:v>선택</x:v>
      </x:c>
      <x:c r="F45" s="45" t="str">
        <x:v>Day 4용 프롬프트 후보 잠금</x:v>
      </x:c>
      <x:c r="G45" s="45" t="str">
        <x:v>최고 점수만 고르지 말고 안전 오류와 비용 기준을 적용해 v0.1을 고정한다.</x:v>
      </x:c>
      <x:c r="H45" s="45" t="str">
        <x:v>ai/prompts/inquiry/ACTIVE</x:v>
      </x:c>
      <x:c r="I45" s="45" t="str">
        <x:v>04 §4.3 · 03 아키텍처, 05 API, 06 안전, 09 Day 4</x:v>
      </x:c>
      <x:c r="J45" s="45" t="str">
        <x:v>ai/prompts/inquiry/ACTIVE</x:v>
      </x:c>
      <x:c r="K45" s="45" t="str">
        <x:v>pytest ai/tests/ai/test_active_prompt.py -q</x:v>
      </x:c>
      <x:c r="L45" s="45" t="str">
        <x:v>선택 이유와 기각 이유 기록</x:v>
      </x:c>
      <x:c r="M45" s="45" t="str">
        <x:v>Production 쓰기 없음</x:v>
      </x:c>
      <x:c r="N45" s="45" t="str">
        <x:v>미착수</x:v>
      </x:c>
      <x:c r="O45" s="45"/>
      <x:c r="P45" s="45"/>
      <x:c r="Q45" s="45" t="str">
        <x:v>공동 계약 v0.1과 해당 Fixture/Mock 준비</x:v>
      </x:c>
      <x:c r="R45" s="45" t="str">
        <x:v>다른 트랙 결과가 없으면 공동 계약 기반 Mock/Fixture로 진행하고 차단 사유를 기록</x:v>
      </x:c>
    </x:row>
    <x:row r="46" ht="72" customHeight="1">
      <x:c r="A46" s="45" t="str">
        <x:v>4일차</x:v>
      </x:c>
      <x:c r="B46" s="45" t="n">
        <x:v>3</x:v>
      </x:c>
      <x:c r="C46" s="45" t="str">
        <x:v>AI·ML</x:v>
      </x:c>
      <x:c r="D46" s="45" t="str">
        <x:v>D04-AI-03</x:v>
      </x:c>
      <x:c r="E46" s="45" t="str">
        <x:v>연결</x:v>
      </x:c>
      <x:c r="F46" s="45" t="str">
        <x:v>Mock AI 서비스 계약 응답 제공</x:v>
      </x:c>
      <x:c r="G46" s="45" t="str">
        <x:v>실제 모델 장애와 무관하게 정해진 intent/evidence/route를 반환하는 adapter를 연결한다.</x:v>
      </x:c>
      <x:c r="H46" s="45" t="str">
        <x:v>ai/services/mock_runtime.py</x:v>
      </x:c>
      <x:c r="I46" s="45" t="str">
        <x:v>05 §4.3 · 03 아키텍처, 05 API, 06 안전, 09 Day 4</x:v>
      </x:c>
      <x:c r="J46" s="45" t="str">
        <x:v>ai/services/mock_runtime.py</x:v>
      </x:c>
      <x:c r="K46" s="45" t="str">
        <x:v>pytest ai/tests/integration/test_mock_ai_runtime.py -q</x:v>
      </x:c>
      <x:c r="L46" s="45" t="str">
        <x:v>백엔드 계약과 필드 차이 0건</x:v>
      </x:c>
      <x:c r="M46" s="45" t="str">
        <x:v>Production 쓰기 없음</x:v>
      </x:c>
      <x:c r="N46" s="45" t="str">
        <x:v>미착수</x:v>
      </x:c>
      <x:c r="O46" s="45"/>
      <x:c r="P46" s="45"/>
      <x:c r="Q46" s="45" t="str">
        <x:v>공동 계약 v0.1과 해당 Fixture/Mock 준비</x:v>
      </x:c>
      <x:c r="R46" s="45" t="str">
        <x:v>다른 트랙 결과가 없으면 공동 계약 기반 Mock/Fixture로 진행하고 차단 사유를 기록</x:v>
      </x:c>
    </x:row>
    <x:row r="47" ht="72" customHeight="1">
      <x:c r="A47" s="45" t="str">
        <x:v>4일차</x:v>
      </x:c>
      <x:c r="B47" s="45" t="n">
        <x:v>4</x:v>
      </x:c>
      <x:c r="C47" s="45" t="str">
        <x:v>AI·ML</x:v>
      </x:c>
      <x:c r="D47" s="45" t="str">
        <x:v>D04-AI-04</x:v>
      </x:c>
      <x:c r="E47" s="45" t="str">
        <x:v>안전</x:v>
      </x:c>
      <x:c r="F47" s="45" t="str">
        <x:v>고위험 문의 차단 시험</x:v>
      </x:c>
      <x:c r="G47" s="45" t="str">
        <x:v>환불·분쟁·보상·결제·취소 fixture가 자동응답이나 도구실행으로 가지 않게 한다.</x:v>
      </x:c>
      <x:c r="H47" s="45" t="str">
        <x:v>ai/tests/safety/test_high_risk_inquiry.py</x:v>
      </x:c>
      <x:c r="I47" s="45" t="str">
        <x:v>FR-CS-004 · 03 아키텍처, 05 API, 06 안전, 09 Day 4</x:v>
      </x:c>
      <x:c r="J47" s="45" t="str">
        <x:v>ai/tests/safety/test_high_risk_inquiry.py</x:v>
      </x:c>
      <x:c r="K47" s="45" t="str">
        <x:v>pytest ai/tests/safety/test_high_risk_inquiry.py -q</x:v>
      </x:c>
      <x:c r="L47" s="45" t="str">
        <x:v>자동전송·Tool 호출 0회</x:v>
      </x:c>
      <x:c r="M47" s="45" t="str">
        <x:v>Production 쓰기 없음</x:v>
      </x:c>
      <x:c r="N47" s="45" t="str">
        <x:v>미착수</x:v>
      </x:c>
      <x:c r="O47" s="45"/>
      <x:c r="P47" s="45"/>
      <x:c r="Q47" s="45" t="str">
        <x:v>공동 계약 v0.1과 해당 Fixture/Mock 준비</x:v>
      </x:c>
      <x:c r="R47" s="45" t="str">
        <x:v>다른 트랙 결과가 없으면 공동 계약 기반 Mock/Fixture로 진행하고 차단 사유를 기록</x:v>
      </x:c>
    </x:row>
    <x:row r="48" ht="72" customHeight="1">
      <x:c r="A48" s="45" t="str">
        <x:v>4일차</x:v>
      </x:c>
      <x:c r="B48" s="45" t="n">
        <x:v>5</x:v>
      </x:c>
      <x:c r="C48" s="45" t="str">
        <x:v>AI·ML</x:v>
      </x:c>
      <x:c r="D48" s="45" t="str">
        <x:v>D04-AI-05</x:v>
      </x:c>
      <x:c r="E48" s="45" t="str">
        <x:v>증거</x:v>
      </x:c>
      <x:c r="F48" s="45" t="str">
        <x:v>통합 AI trace 저장</x:v>
      </x:c>
      <x:c r="G48" s="45" t="str">
        <x:v>prompt_version, route_reason, tokens=mock, evidence_ids와 결과를 request_id로 묶는다.</x:v>
      </x:c>
      <x:c r="H48" s="45" t="str">
        <x:v>artifacts/integration/day04/ai_trace.json</x:v>
      </x:c>
      <x:c r="I48" s="45" t="str">
        <x:v>09 §9 · 03 아키텍처, 05 API, 06 안전, 09 Day 4</x:v>
      </x:c>
      <x:c r="J48" s="45" t="str">
        <x:v>artifacts/integration/day04/ai_trace.json</x:v>
      </x:c>
      <x:c r="K48" s="45" t="str">
        <x:v>python -m ai.evaluation.validate_trace artifacts/integration/day04/ai_trace.json</x:v>
      </x:c>
      <x:c r="L48" s="45" t="str">
        <x:v>필수 추적 필드 100%</x:v>
      </x:c>
      <x:c r="M48" s="45" t="str">
        <x:v>Production 쓰기 없음</x:v>
      </x:c>
      <x:c r="N48" s="45" t="str">
        <x:v>미착수</x:v>
      </x:c>
      <x:c r="O48" s="45"/>
      <x:c r="P48" s="45"/>
      <x:c r="Q48" s="45" t="str">
        <x:v>공동 계약 v0.1과 해당 Fixture/Mock 준비</x:v>
      </x:c>
      <x:c r="R48" s="45" t="str">
        <x:v>다른 트랙 결과가 없으면 공동 계약 기반 Mock/Fixture로 진행하고 차단 사유를 기록</x:v>
      </x:c>
    </x:row>
    <x:row r="49" ht="72" customHeight="1">
      <x:c r="A49" s="46" t="str">
        <x:v>4일차</x:v>
      </x:c>
      <x:c r="B49" s="46" t="n">
        <x:v>1</x:v>
      </x:c>
      <x:c r="C49" s="46" t="str">
        <x:v>백엔드·데이터</x:v>
      </x:c>
      <x:c r="D49" s="46" t="str">
        <x:v>D04-BE-01</x:v>
      </x:c>
      <x:c r="E49" s="46" t="str">
        <x:v>통합</x:v>
      </x:c>
      <x:c r="F49" s="46" t="str">
        <x:v>Demo sale 이벤트 E2E 연결</x:v>
      </x:c>
      <x:c r="G49" s="46" t="str">
        <x:v>Mock Provider→Inbox→Event 저장→위험 Mock→GET /insights 흐름을 연결한다.</x:v>
      </x:c>
      <x:c r="H49" s="46" t="str">
        <x:v>backend/tests/integration/test_day04_mock_e2e.py</x:v>
      </x:c>
      <x:c r="I49" s="46" t="str">
        <x:v>AC-E2E-01 · 03 아키텍처, 05 API, 06 안전, 09 Day 4</x:v>
      </x:c>
      <x:c r="J49" s="46" t="str">
        <x:v>backend/tests/integration/test_day04_mock_e2e.py</x:v>
      </x:c>
      <x:c r="K49" s="46" t="str">
        <x:v>pytest backend/tests/integration/test_day04_mock_e2e.py -q</x:v>
      </x:c>
      <x:c r="L49" s="46" t="str">
        <x:v>하나의 correlation_id로 전 구간 PASS</x:v>
      </x:c>
      <x:c r="M49" s="46" t="str">
        <x:v>Production 쓰기 없음</x:v>
      </x:c>
      <x:c r="N49" s="46" t="str">
        <x:v>미착수</x:v>
      </x:c>
      <x:c r="O49" s="46"/>
      <x:c r="P49" s="46"/>
      <x:c r="Q49" s="46" t="str">
        <x:v>공동 계약 v0.1과 해당 Fixture/Mock 준비</x:v>
      </x:c>
      <x:c r="R49" s="46" t="str">
        <x:v>다른 트랙 결과가 없으면 공동 계약 기반 Mock/Fixture로 진행하고 차단 사유를 기록</x:v>
      </x:c>
    </x:row>
    <x:row r="50" ht="72" customHeight="1">
      <x:c r="A50" s="46" t="str">
        <x:v>4일차</x:v>
      </x:c>
      <x:c r="B50" s="46" t="n">
        <x:v>2</x:v>
      </x:c>
      <x:c r="C50" s="46" t="str">
        <x:v>백엔드·데이터</x:v>
      </x:c>
      <x:c r="D50" s="46" t="str">
        <x:v>D04-BE-02</x:v>
      </x:c>
      <x:c r="E50" s="46" t="str">
        <x:v>계약</x:v>
      </x:c>
      <x:c r="F50" s="46" t="str">
        <x:v>AI·화면 계약 snapshot 비교</x:v>
      </x:c>
      <x:c r="G50" s="46" t="str">
        <x:v>OpenAPI, event schema, ai response schema의 버전과 예시가 소비자 Mock과 같은지 확인한다.</x:v>
      </x:c>
      <x:c r="H50" s="46" t="str">
        <x:v>artifacts/integration/day04/contract_report.json</x:v>
      </x:c>
      <x:c r="I50" s="46" t="str">
        <x:v>NFR-COMP-001 · 03 아키텍처, 05 API, 06 안전, 09 Day 4</x:v>
      </x:c>
      <x:c r="J50" s="46" t="str">
        <x:v>artifacts/integration/day04/contract_report.json</x:v>
      </x:c>
      <x:c r="K50" s="46" t="str">
        <x:v>make contract-test</x:v>
      </x:c>
      <x:c r="L50" s="46" t="str">
        <x:v>breaking diff 0건</x:v>
      </x:c>
      <x:c r="M50" s="46" t="str">
        <x:v>Production 쓰기 없음</x:v>
      </x:c>
      <x:c r="N50" s="46" t="str">
        <x:v>미착수</x:v>
      </x:c>
      <x:c r="O50" s="46"/>
      <x:c r="P50" s="46"/>
      <x:c r="Q50" s="46" t="str">
        <x:v>공동 계약 v0.1과 해당 Fixture/Mock 준비</x:v>
      </x:c>
      <x:c r="R50" s="46" t="str">
        <x:v>다른 트랙 결과가 없으면 공동 계약 기반 Mock/Fixture로 진행하고 차단 사유를 기록</x:v>
      </x:c>
    </x:row>
    <x:row r="51" ht="72" customHeight="1">
      <x:c r="A51" s="46" t="str">
        <x:v>4일차</x:v>
      </x:c>
      <x:c r="B51" s="46" t="n">
        <x:v>3</x:v>
      </x:c>
      <x:c r="C51" s="46" t="str">
        <x:v>백엔드·데이터</x:v>
      </x:c>
      <x:c r="D51" s="46" t="str">
        <x:v>D04-BE-03</x:v>
      </x:c>
      <x:c r="E51" s="46" t="str">
        <x:v>안전</x:v>
      </x:c>
      <x:c r="F51" s="46" t="str">
        <x:v>외부 쓰기 호출 계수 검증</x:v>
      </x:c>
      <x:c r="G51" s="46" t="str">
        <x:v>테스트 transport에서 write method/path 호출을 모두 수집하고 0임을 단언한다.</x:v>
      </x:c>
      <x:c r="H51" s="46" t="str">
        <x:v>backend/tests/safety/test_external_write_count.py</x:v>
      </x:c>
      <x:c r="I51" s="46" t="str">
        <x:v>FR-SAFE-001 · 03 아키텍처, 05 API, 06 안전, 09 Day 4</x:v>
      </x:c>
      <x:c r="J51" s="46" t="str">
        <x:v>backend/tests/safety/test_external_write_count.py</x:v>
      </x:c>
      <x:c r="K51" s="46" t="str">
        <x:v>pytest backend/tests/safety/test_external_write_count.py -q</x:v>
      </x:c>
      <x:c r="L51" s="46" t="str">
        <x:v>Production write_call_count=0</x:v>
      </x:c>
      <x:c r="M51" s="46" t="str">
        <x:v>Production 쓰기 없음</x:v>
      </x:c>
      <x:c r="N51" s="46" t="str">
        <x:v>미착수</x:v>
      </x:c>
      <x:c r="O51" s="46"/>
      <x:c r="P51" s="46"/>
      <x:c r="Q51" s="46" t="str">
        <x:v>공동 계약 v0.1과 해당 Fixture/Mock 준비</x:v>
      </x:c>
      <x:c r="R51" s="46" t="str">
        <x:v>다른 트랙 결과가 없으면 공동 계약 기반 Mock/Fixture로 진행하고 차단 사유를 기록</x:v>
      </x:c>
    </x:row>
    <x:row r="52" ht="72" customHeight="1">
      <x:c r="A52" s="46" t="str">
        <x:v>4일차</x:v>
      </x:c>
      <x:c r="B52" s="46" t="n">
        <x:v>4</x:v>
      </x:c>
      <x:c r="C52" s="46" t="str">
        <x:v>백엔드·데이터</x:v>
      </x:c>
      <x:c r="D52" s="46" t="str">
        <x:v>D04-BE-04</x:v>
      </x:c>
      <x:c r="E52" s="46" t="str">
        <x:v>장애</x:v>
      </x:c>
      <x:c r="F52" s="46" t="str">
        <x:v>Provider timeout·부분실패 주입</x:v>
      </x:c>
      <x:c r="G52" s="46" t="str">
        <x:v>한 Provider 실패가 나머지 조회와 화면을 중단하지 않고 degraded 상태로 남게 한다.</x:v>
      </x:c>
      <x:c r="H52" s="46" t="str">
        <x:v>backend/tests/integration/test_provider_partial_failure.py</x:v>
      </x:c>
      <x:c r="I52" s="46" t="str">
        <x:v>NFR-REL-001 · 03 아키텍처, 05 API, 06 안전, 09 Day 4</x:v>
      </x:c>
      <x:c r="J52" s="46" t="str">
        <x:v>backend/tests/integration/test_provider_partial_failure.py</x:v>
      </x:c>
      <x:c r="K52" s="46" t="str">
        <x:v>pytest backend/tests/integration/test_provider_partial_failure.py -q</x:v>
      </x:c>
      <x:c r="L52" s="46" t="str">
        <x:v>재시도 상한 후 안전 종료·상태 표시</x:v>
      </x:c>
      <x:c r="M52" s="46" t="str">
        <x:v>Production 쓰기 없음</x:v>
      </x:c>
      <x:c r="N52" s="46" t="str">
        <x:v>미착수</x:v>
      </x:c>
      <x:c r="O52" s="46"/>
      <x:c r="P52" s="46"/>
      <x:c r="Q52" s="46" t="str">
        <x:v>공동 계약 v0.1과 해당 Fixture/Mock 준비</x:v>
      </x:c>
      <x:c r="R52" s="46" t="str">
        <x:v>다른 트랙 결과가 없으면 공동 계약 기반 Mock/Fixture로 진행하고 차단 사유를 기록</x:v>
      </x:c>
    </x:row>
    <x:row r="53" ht="72" customHeight="1">
      <x:c r="A53" s="46" t="str">
        <x:v>4일차</x:v>
      </x:c>
      <x:c r="B53" s="46" t="n">
        <x:v>5</x:v>
      </x:c>
      <x:c r="C53" s="46" t="str">
        <x:v>백엔드·데이터</x:v>
      </x:c>
      <x:c r="D53" s="46" t="str">
        <x:v>D04-BE-05</x:v>
      </x:c>
      <x:c r="E53" s="46" t="str">
        <x:v>결함</x:v>
      </x:c>
      <x:c r="F53" s="46" t="str">
        <x:v>통합 결함과 다음 조치 기록</x:v>
      </x:c>
      <x:c r="G53" s="46" t="str">
        <x:v>원인 트랙, 재현 명령, 심각도, owner, 목표 Day를 기록한다.</x:v>
      </x:c>
      <x:c r="H53" s="46" t="str">
        <x:v>artifacts/integration/day04/defects.csv</x:v>
      </x:c>
      <x:c r="I53" s="46" t="str">
        <x:v>09 §10 · 03 아키텍처, 05 API, 06 안전, 09 Day 4</x:v>
      </x:c>
      <x:c r="J53" s="46" t="str">
        <x:v>artifacts/integration/day04/defects.csv</x:v>
      </x:c>
      <x:c r="K53" s="46" t="str">
        <x:v>python scripts/validate_defect_log.py artifacts/integration/day04/defects.csv</x:v>
      </x:c>
      <x:c r="L53" s="46" t="str">
        <x:v>차단 결함에 owner·재현법 100%</x:v>
      </x:c>
      <x:c r="M53" s="46" t="str">
        <x:v>Production 쓰기 없음</x:v>
      </x:c>
      <x:c r="N53" s="46" t="str">
        <x:v>미착수</x:v>
      </x:c>
      <x:c r="O53" s="46"/>
      <x:c r="P53" s="46"/>
      <x:c r="Q53" s="46" t="str">
        <x:v>공동 계약 v0.1과 해당 Fixture/Mock 준비</x:v>
      </x:c>
      <x:c r="R53" s="46" t="str">
        <x:v>다른 트랙 결과가 없으면 공동 계약 기반 Mock/Fixture로 진행하고 차단 사유를 기록</x:v>
      </x:c>
    </x:row>
    <x:row r="54" ht="72" customHeight="1">
      <x:c r="A54" s="47" t="str">
        <x:v>4일차</x:v>
      </x:c>
      <x:c r="B54" s="47" t="n">
        <x:v>1</x:v>
      </x:c>
      <x:c r="C54" s="47" t="str">
        <x:v>프론트엔드·제품</x:v>
      </x:c>
      <x:c r="D54" s="47" t="str">
        <x:v>D04-FE-01</x:v>
      </x:c>
      <x:c r="E54" s="47" t="str">
        <x:v>통합</x:v>
      </x:c>
      <x:c r="F54" s="47" t="str">
        <x:v>Demo 이벤트→홈 카드 표시 E2E</x:v>
      </x:c>
      <x:c r="G54" s="47" t="str">
        <x:v>scenario A를 실행하고 위험 카드와 근거 패널을 확인한다.</x:v>
      </x:c>
      <x:c r="H54" s="47" t="str">
        <x:v>frontend/e2e/day04.spec.ts</x:v>
      </x:c>
      <x:c r="I54" s="47" t="str">
        <x:v>AC-E2E-01 · 03 아키텍처, 05 API, 06 안전, 09 Day 4</x:v>
      </x:c>
      <x:c r="J54" s="47" t="str">
        <x:v>frontend/e2e/day04.spec.ts</x:v>
      </x:c>
      <x:c r="K54" s="47" t="str">
        <x:v>npm --prefix frontend run e2e -- day04</x:v>
      </x:c>
      <x:c r="L54" s="47" t="str">
        <x:v>E2E 영상/스크린샷과 request_id 저장</x:v>
      </x:c>
      <x:c r="M54" s="47" t="str">
        <x:v>Production 쓰기 없음</x:v>
      </x:c>
      <x:c r="N54" s="47" t="str">
        <x:v>미착수</x:v>
      </x:c>
      <x:c r="O54" s="47"/>
      <x:c r="P54" s="47"/>
      <x:c r="Q54" s="47" t="str">
        <x:v>공동 계약 v0.1과 해당 Fixture/Mock 준비</x:v>
      </x:c>
      <x:c r="R54" s="47" t="str">
        <x:v>다른 트랙 결과가 없으면 공동 계약 기반 Mock/Fixture로 진행하고 차단 사유를 기록</x:v>
      </x:c>
    </x:row>
    <x:row r="55" ht="72" customHeight="1">
      <x:c r="A55" s="47" t="str">
        <x:v>4일차</x:v>
      </x:c>
      <x:c r="B55" s="47" t="n">
        <x:v>2</x:v>
      </x:c>
      <x:c r="C55" s="47" t="str">
        <x:v>프론트엔드·제품</x:v>
      </x:c>
      <x:c r="D55" s="47" t="str">
        <x:v>D04-FE-02</x:v>
      </x:c>
      <x:c r="E55" s="47" t="str">
        <x:v>안전</x:v>
      </x:c>
      <x:c r="F55" s="47" t="str">
        <x:v>Production에서 쓰기 버튼 부재 확인</x:v>
      </x:c>
      <x:c r="G55" s="47" t="str">
        <x:v>재고수정·취소·환불·가격변경 행동이 DOM과 네트워크에 존재하지 않게 한다.</x:v>
      </x:c>
      <x:c r="H55" s="47" t="str">
        <x:v>frontend/e2e/read_only.spec.ts</x:v>
      </x:c>
      <x:c r="I55" s="47" t="str">
        <x:v>06 §6 · 03 아키텍처, 05 API, 06 안전, 09 Day 4</x:v>
      </x:c>
      <x:c r="J55" s="47" t="str">
        <x:v>frontend/e2e/read_only.spec.ts</x:v>
      </x:c>
      <x:c r="K55" s="47" t="str">
        <x:v>npm --prefix frontend run e2e -- read_only</x:v>
      </x:c>
      <x:c r="L55" s="47" t="str">
        <x:v>금지 CTA 0개·write request 0건</x:v>
      </x:c>
      <x:c r="M55" s="47" t="str">
        <x:v>Production 쓰기 없음</x:v>
      </x:c>
      <x:c r="N55" s="47" t="str">
        <x:v>미착수</x:v>
      </x:c>
      <x:c r="O55" s="47"/>
      <x:c r="P55" s="47"/>
      <x:c r="Q55" s="47" t="str">
        <x:v>공동 계약 v0.1과 해당 Fixture/Mock 준비</x:v>
      </x:c>
      <x:c r="R55" s="47" t="str">
        <x:v>다른 트랙 결과가 없으면 공동 계약 기반 Mock/Fixture로 진행하고 차단 사유를 기록</x:v>
      </x:c>
    </x:row>
    <x:row r="56" ht="72" customHeight="1">
      <x:c r="A56" s="47" t="str">
        <x:v>4일차</x:v>
      </x:c>
      <x:c r="B56" s="47" t="n">
        <x:v>3</x:v>
      </x:c>
      <x:c r="C56" s="47" t="str">
        <x:v>프론트엔드·제품</x:v>
      </x:c>
      <x:c r="D56" s="47" t="str">
        <x:v>D04-FE-03</x:v>
      </x:c>
      <x:c r="E56" s="47" t="str">
        <x:v>오류</x:v>
      </x:c>
      <x:c r="F56" s="47" t="str">
        <x:v>부분실패·stale 화면 검증</x:v>
      </x:c>
      <x:c r="G56" s="47" t="str">
        <x:v>Provider 1개 timeout 시 나머지 데이터와 stale 경고가 함께 보이는지 확인한다.</x:v>
      </x:c>
      <x:c r="H56" s="47" t="str">
        <x:v>frontend/e2e/degraded.spec.ts</x:v>
      </x:c>
      <x:c r="I56" s="47" t="str">
        <x:v>07 §13 · 03 아키텍처, 05 API, 06 안전, 09 Day 4</x:v>
      </x:c>
      <x:c r="J56" s="47" t="str">
        <x:v>frontend/e2e/degraded.spec.ts</x:v>
      </x:c>
      <x:c r="K56" s="47" t="str">
        <x:v>npm --prefix frontend run e2e -- degraded</x:v>
      </x:c>
      <x:c r="L56" s="47" t="str">
        <x:v>사용자가 데이터 시점과 실패 대상을 구분</x:v>
      </x:c>
      <x:c r="M56" s="47" t="str">
        <x:v>Production 쓰기 없음</x:v>
      </x:c>
      <x:c r="N56" s="47" t="str">
        <x:v>미착수</x:v>
      </x:c>
      <x:c r="O56" s="47"/>
      <x:c r="P56" s="47"/>
      <x:c r="Q56" s="47" t="str">
        <x:v>공동 계약 v0.1과 해당 Fixture/Mock 준비</x:v>
      </x:c>
      <x:c r="R56" s="47" t="str">
        <x:v>다른 트랙 결과가 없으면 공동 계약 기반 Mock/Fixture로 진행하고 차단 사유를 기록</x:v>
      </x:c>
    </x:row>
    <x:row r="57" ht="72" customHeight="1">
      <x:c r="A57" s="45" t="str">
        <x:v>5일차</x:v>
      </x:c>
      <x:c r="B57" s="45" t="n">
        <x:v>1</x:v>
      </x:c>
      <x:c r="C57" s="45" t="str">
        <x:v>AI·ML</x:v>
      </x:c>
      <x:c r="D57" s="45" t="str">
        <x:v>D05-AI-01</x:v>
      </x:c>
      <x:c r="E57" s="45" t="str">
        <x:v>말뭉치</x:v>
      </x:c>
      <x:c r="F57" s="45" t="str">
        <x:v>검색 대상 Record/Document 목록 확정</x:v>
      </x:c>
      <x:c r="G57" s="45" t="str">
        <x:v>상품구조, 정책문서, 재고 snapshot, 입고예정, 주문상태를 답변 가능 범위와 함께 분리한다.</x:v>
      </x:c>
      <x:c r="H57" s="45" t="str">
        <x:v>ai/retrieval/corpus_catalog.yaml</x:v>
      </x:c>
      <x:c r="I57" s="45" t="str">
        <x:v>FR-CS-002 · 04 §5.1 · 03 §6, 04 §5, 05 §6, 06 §4</x:v>
      </x:c>
      <x:c r="J57" s="45" t="str">
        <x:v>ai/retrieval/corpus_catalog.yaml</x:v>
      </x:c>
      <x:c r="K57" s="45" t="str">
        <x:v>pytest ai/tests/retrieval/test_corpus_catalog.py -q</x:v>
      </x:c>
      <x:c r="L57" s="45" t="str">
        <x:v>각 source에 owner·freshness·visibility 있음</x:v>
      </x:c>
      <x:c r="M57" s="45" t="str">
        <x:v>Production 쓰기 없음</x:v>
      </x:c>
      <x:c r="N57" s="45" t="str">
        <x:v>미착수</x:v>
      </x:c>
      <x:c r="O57" s="45"/>
      <x:c r="P57" s="45"/>
      <x:c r="Q57" s="45" t="str">
        <x:v>공동 계약 v0.1과 해당 Fixture/Mock 준비</x:v>
      </x:c>
      <x:c r="R57" s="45" t="str">
        <x:v>다른 트랙 결과가 없으면 공동 계약 기반 Mock/Fixture로 진행하고 차단 사유를 기록</x:v>
      </x:c>
    </x:row>
    <x:row r="58" ht="72" customHeight="1">
      <x:c r="A58" s="45" t="str">
        <x:v>5일차</x:v>
      </x:c>
      <x:c r="B58" s="45" t="n">
        <x:v>2</x:v>
      </x:c>
      <x:c r="C58" s="45" t="str">
        <x:v>AI·ML</x:v>
      </x:c>
      <x:c r="D58" s="45" t="str">
        <x:v>D05-AI-02</x:v>
      </x:c>
      <x:c r="E58" s="45" t="str">
        <x:v>메타데이터</x:v>
      </x:c>
      <x:c r="F58" s="45" t="str">
        <x:v>검색 metadata schema 구현</x:v>
      </x:c>
      <x:c r="G58" s="45" t="str">
        <x:v>tenant/product/brand/category/language/base_game/expansion/source_type/as_of/version을 필수 또는 선택으로 정의한다.</x:v>
      </x:c>
      <x:c r="H58" s="45" t="str">
        <x:v>ai/retrieval/metadata.schema.json</x:v>
      </x:c>
      <x:c r="I58" s="45" t="str">
        <x:v>04 §5.3 · 03 §6, 04 §5, 05 §6, 06 §4</x:v>
      </x:c>
      <x:c r="J58" s="45" t="str">
        <x:v>ai/retrieval/metadata.schema.json</x:v>
      </x:c>
      <x:c r="K58" s="45" t="str">
        <x:v>pytest ai/tests/retrieval/test_metadata_schema.py -q</x:v>
      </x:c>
      <x:c r="L58" s="45" t="str">
        <x:v>필터 필드 타입과 누락 정책 통과</x:v>
      </x:c>
      <x:c r="M58" s="45" t="str">
        <x:v>Production 쓰기 없음</x:v>
      </x:c>
      <x:c r="N58" s="45" t="str">
        <x:v>미착수</x:v>
      </x:c>
      <x:c r="O58" s="45"/>
      <x:c r="P58" s="45"/>
      <x:c r="Q58" s="45" t="str">
        <x:v>공동 계약 v0.1과 해당 Fixture/Mock 준비</x:v>
      </x:c>
      <x:c r="R58" s="45" t="str">
        <x:v>다른 트랙 결과가 없으면 공동 계약 기반 Mock/Fixture로 진행하고 차단 사유를 기록</x:v>
      </x:c>
    </x:row>
    <x:row r="59" ht="72" customHeight="1">
      <x:c r="A59" s="45" t="str">
        <x:v>5일차</x:v>
      </x:c>
      <x:c r="B59" s="45" t="n">
        <x:v>3</x:v>
      </x:c>
      <x:c r="C59" s="45" t="str">
        <x:v>AI·ML</x:v>
      </x:c>
      <x:c r="D59" s="45" t="str">
        <x:v>D05-AI-03</x:v>
      </x:c>
      <x:c r="E59" s="45" t="str">
        <x:v>질문셋</x:v>
      </x:c>
      <x:c r="F59" s="45" t="str">
        <x:v>Golden retrieval query 초안 60건 작성</x:v>
      </x:c>
      <x:c r="G59" s="45" t="str">
        <x:v>상품명 exact, 자연어 별칭, 관계, 재고, 배송, 정책, 근거부족 질문과 graded relevance를 만든다.</x:v>
      </x:c>
      <x:c r="H59" s="45" t="str">
        <x:v>ai/evaluation/datasets/golden_retrieval.jsonl</x:v>
      </x:c>
      <x:c r="I59" s="45" t="str">
        <x:v>09 §3·5.2 · 03 §6, 04 §5, 05 §6, 06 §4</x:v>
      </x:c>
      <x:c r="J59" s="45" t="str">
        <x:v>ai/evaluation/datasets/golden_retrieval.jsonl</x:v>
      </x:c>
      <x:c r="K59" s="45" t="str">
        <x:v>python -m ai.evaluation.validate_retrieval_set</x:v>
      </x:c>
      <x:c r="L59" s="45" t="str">
        <x:v>질문 60건 이상·relevance grade·split hash</x:v>
      </x:c>
      <x:c r="M59" s="45" t="str">
        <x:v>Production 쓰기 없음</x:v>
      </x:c>
      <x:c r="N59" s="45" t="str">
        <x:v>미착수</x:v>
      </x:c>
      <x:c r="O59" s="45"/>
      <x:c r="P59" s="45"/>
      <x:c r="Q59" s="45" t="str">
        <x:v>공동 계약 v0.1과 해당 Fixture/Mock 준비</x:v>
      </x:c>
      <x:c r="R59" s="45" t="str">
        <x:v>다른 트랙 결과가 없으면 공동 계약 기반 Mock/Fixture로 진행하고 차단 사유를 기록</x:v>
      </x:c>
    </x:row>
    <x:row r="60" ht="72" customHeight="1">
      <x:c r="A60" s="45" t="str">
        <x:v>5일차</x:v>
      </x:c>
      <x:c r="B60" s="45" t="n">
        <x:v>4</x:v>
      </x:c>
      <x:c r="C60" s="45" t="str">
        <x:v>AI·ML</x:v>
      </x:c>
      <x:c r="D60" s="45" t="str">
        <x:v>D05-AI-04</x:v>
      </x:c>
      <x:c r="E60" s="45" t="str">
        <x:v>최신성</x:v>
      </x:c>
      <x:c r="F60" s="45" t="str">
        <x:v>source freshness 규칙 정의</x:v>
      </x:c>
      <x:c r="G60" s="45" t="str">
        <x:v>실시간성 요구가 다른 재고·입고·정책·상품설명을 source_type별 TTL과 stale fallback으로 정한다.</x:v>
      </x:c>
      <x:c r="H60" s="45" t="str">
        <x:v>ai/retrieval/freshness.yaml</x:v>
      </x:c>
      <x:c r="I60" s="45" t="str">
        <x:v>04 §5.6 · 03 §6, 04 §5, 05 §6, 06 §4</x:v>
      </x:c>
      <x:c r="J60" s="45" t="str">
        <x:v>ai/retrieval/freshness.yaml</x:v>
      </x:c>
      <x:c r="K60" s="45" t="str">
        <x:v>pytest ai/tests/retrieval/test_freshness_policy.py -q</x:v>
      </x:c>
      <x:c r="L60" s="45" t="str">
        <x:v>stale 재고를 확정 답변에 사용하지 않음</x:v>
      </x:c>
      <x:c r="M60" s="45" t="str">
        <x:v>Production 쓰기 없음</x:v>
      </x:c>
      <x:c r="N60" s="45" t="str">
        <x:v>미착수</x:v>
      </x:c>
      <x:c r="O60" s="45"/>
      <x:c r="P60" s="45"/>
      <x:c r="Q60" s="45" t="str">
        <x:v>공동 계약 v0.1과 해당 Fixture/Mock 준비</x:v>
      </x:c>
      <x:c r="R60" s="45" t="str">
        <x:v>다른 트랙 결과가 없으면 공동 계약 기반 Mock/Fixture로 진행하고 차단 사유를 기록</x:v>
      </x:c>
    </x:row>
    <x:row r="61" ht="72" customHeight="1">
      <x:c r="A61" s="45" t="str">
        <x:v>5일차</x:v>
      </x:c>
      <x:c r="B61" s="45" t="n">
        <x:v>5</x:v>
      </x:c>
      <x:c r="C61" s="45" t="str">
        <x:v>AI·ML</x:v>
      </x:c>
      <x:c r="D61" s="45" t="str">
        <x:v>D05-AI-05</x:v>
      </x:c>
      <x:c r="E61" s="45" t="str">
        <x:v>인용</x:v>
      </x:c>
      <x:c r="F61" s="45" t="str">
        <x:v>citation 출력 형식 구현</x:v>
      </x:c>
      <x:c r="G61" s="45" t="str">
        <x:v>source_id, title, record_id, as_of, field/path, excerpt_hash를 답변 근거로 반환한다.</x:v>
      </x:c>
      <x:c r="H61" s="45" t="str">
        <x:v>ai/retrieval/citation.py</x:v>
      </x:c>
      <x:c r="I61" s="45" t="str">
        <x:v>FR-CS-002 · 03 §6, 04 §5, 05 §6, 06 §4</x:v>
      </x:c>
      <x:c r="J61" s="45" t="str">
        <x:v>ai/retrieval/citation.py</x:v>
      </x:c>
      <x:c r="K61" s="45" t="str">
        <x:v>pytest ai/tests/retrieval/test_citation.py -q</x:v>
      </x:c>
      <x:c r="L61" s="45" t="str">
        <x:v>근거 없는 답변은 abstain로 표시</x:v>
      </x:c>
      <x:c r="M61" s="45" t="str">
        <x:v>Production 쓰기 없음</x:v>
      </x:c>
      <x:c r="N61" s="45" t="str">
        <x:v>미착수</x:v>
      </x:c>
      <x:c r="O61" s="45"/>
      <x:c r="P61" s="45"/>
      <x:c r="Q61" s="45" t="str">
        <x:v>공동 계약 v0.1과 해당 Fixture/Mock 준비</x:v>
      </x:c>
      <x:c r="R61" s="45" t="str">
        <x:v>다른 트랙 결과가 없으면 공동 계약 기반 Mock/Fixture로 진행하고 차단 사유를 기록</x:v>
      </x:c>
    </x:row>
    <x:row r="62" ht="72" customHeight="1">
      <x:c r="A62" s="46" t="str">
        <x:v>5일차</x:v>
      </x:c>
      <x:c r="B62" s="46" t="n">
        <x:v>1</x:v>
      </x:c>
      <x:c r="C62" s="46" t="str">
        <x:v>백엔드·데이터</x:v>
      </x:c>
      <x:c r="D62" s="46" t="str">
        <x:v>D05-BE-01</x:v>
      </x:c>
      <x:c r="E62" s="46" t="str">
        <x:v>결정</x:v>
      </x:c>
      <x:c r="F62" s="46" t="str">
        <x:v>Cafe24 읽기 연동 결정기록 확정</x:v>
      </x:c>
      <x:c r="G62" s="46" t="str">
        <x:v>공식 문서만 근거로 API 버전, 인증 방식, 최소 읽기 scope, 상품·주문·문의·반품 resource/endpoint, pagination, rate limit, 조회기간, 확인시각, 담당자, 선택 방식을 기록한다. URL이나 endpoint를 추측하지 않는다.</x:v>
      </x:c>
      <x:c r="H62" s="46" t="str">
        <x:v>docs/provider_capabilities/cafe24.md</x:v>
      </x:c>
      <x:c r="I62" s="46" t="str">
        <x:v>FR-INT-001·007 · 03 §6, 04 §5, 05 §6, 06 §4</x:v>
      </x:c>
      <x:c r="J62" s="46" t="str">
        <x:v>docs/provider_capabilities/cafe24.md</x:v>
      </x:c>
      <x:c r="K62" s="46" t="str">
        <x:v>python scripts/check_capability_matrix.py --provider cafe24</x:v>
      </x:c>
      <x:c r="L62" s="46" t="str">
        <x:v>필수 결정필드가 모두 채워지고 UNKNOWN은 운영 동기화를 차단함</x:v>
      </x:c>
      <x:c r="M62" s="46" t="str">
        <x:v>쓰기 scope·write endpoint 사용 금지</x:v>
      </x:c>
      <x:c r="N62" s="46" t="str">
        <x:v>미착수</x:v>
      </x:c>
      <x:c r="O62" s="46"/>
      <x:c r="P62" s="46"/>
      <x:c r="Q62" s="46" t="str">
        <x:v>공식 문서 접근과 테스트 계정 소유자 승인</x:v>
      </x:c>
      <x:c r="R62" s="46" t="str">
        <x:v>공식 근거를 확인할 수 없으면 DemoProvider를 유지하고 상태를 UNKNOWN/BLOCKED로 기록</x:v>
      </x:c>
    </x:row>
    <x:row r="63" ht="72" customHeight="1">
      <x:c r="A63" s="46" t="str">
        <x:v>5일차</x:v>
      </x:c>
      <x:c r="B63" s="46" t="n">
        <x:v>2</x:v>
      </x:c>
      <x:c r="C63" s="46" t="str">
        <x:v>백엔드·데이터</x:v>
      </x:c>
      <x:c r="D63" s="46" t="str">
        <x:v>D05-BE-02</x:v>
      </x:c>
      <x:c r="E63" s="46" t="str">
        <x:v>어댑터</x:v>
      </x:c>
      <x:c r="F63" s="46" t="str">
        <x:v>Cafe24 실제 Read Adapter 구현</x:v>
      </x:c>
      <x:c r="G63" s="46" t="str">
        <x:v>공식 결정기록에 확정된 resource만 list_products/list_orders/list_inquiries/list_returns로 구현하고 page/cursor/watermark를 ProviderReadPage로 반환한다.</x:v>
      </x:c>
      <x:c r="H63" s="46" t="str">
        <x:v>backend/app/adapters/providers/cafe24/adapter.py</x:v>
      </x:c>
      <x:c r="I63" s="46" t="str">
        <x:v>FR-INT-001·007·008 · 03 §6, 04 §5, 05 §6, 06 §4</x:v>
      </x:c>
      <x:c r="J63" s="46" t="str">
        <x:v>backend/app/adapters/providers/cafe24/adapter.py</x:v>
      </x:c>
      <x:c r="K63" s="46" t="str">
        <x:v>pytest backend/tests/providers/cafe24/test_read_adapter.py -q</x:v>
      </x:c>
      <x:c r="L63" s="46" t="str">
        <x:v>공식 fixture와 응답 필드·페이지 순회·다음 cursor가 일치함</x:v>
      </x:c>
      <x:c r="M63" s="46" t="str">
        <x:v>GET/read scope만 허용; 외부 상태 변경 0</x:v>
      </x:c>
      <x:c r="N63" s="46" t="str">
        <x:v>미착수</x:v>
      </x:c>
      <x:c r="O63" s="46"/>
      <x:c r="P63" s="46"/>
      <x:c r="Q63" s="46" t="str">
        <x:v>D05-BE-01 선택 방식=API_POLL이고 비밀값이 아닌 공식 fixture 준비</x:v>
      </x:c>
      <x:c r="R63" s="46" t="str">
        <x:v>API 미지원·권한 미확보이면 같은 ProviderReadPage 계약의 보호된 파일 Importer로 전환하고 결정기록 갱신</x:v>
      </x:c>
    </x:row>
    <x:row r="64" ht="72" customHeight="1">
      <x:c r="A64" s="46" t="str">
        <x:v>5일차</x:v>
      </x:c>
      <x:c r="B64" s="46" t="n">
        <x:v>3</x:v>
      </x:c>
      <x:c r="C64" s="46" t="str">
        <x:v>백엔드·데이터</x:v>
      </x:c>
      <x:c r="D64" s="46" t="str">
        <x:v>D05-BE-03</x:v>
      </x:c>
      <x:c r="E64" s="46" t="str">
        <x:v>보안</x:v>
      </x:c>
      <x:c r="F64" s="46" t="str">
        <x:v>자격증명·HTTP 전송 읽기전용 차단 구현</x:v>
      </x:c>
      <x:c r="G64" s="46" t="str">
        <x:v>시작 시 scope를 검사하고 HTTP method/path allowlist를 적용한다. write 권한이 포함되거나 scope가 불명확하면 호출 전에 중단하고 감사로그를 남긴다.</x:v>
      </x:c>
      <x:c r="H64" s="46" t="str">
        <x:v>backend/app/adapters/providers/capability_guard.py · backend/app/adapters/providers/http_transport.py</x:v>
      </x:c>
      <x:c r="I64" s="46" t="str">
        <x:v>FR-INT-010 · 06 §4.1 · 03 §6, 04 §5, 05 §6, 06 §4</x:v>
      </x:c>
      <x:c r="J64" s="46" t="str">
        <x:v>backend/app/adapters/providers/capability_guard.py · backend/app/adapters/providers/http_transport.py</x:v>
      </x:c>
      <x:c r="K64" s="46" t="str">
        <x:v>pytest backend/tests/safety/test_credential_capability.py backend/tests/safety/test_provider_http_deny.py -q</x:v>
      </x:c>
      <x:c r="L64" s="46" t="str">
        <x:v>불명확/write scope 및 POST·PUT·PATCH·DELETE의 외부 호출수가 0임</x:v>
      </x:c>
      <x:c r="M64" s="46" t="str">
        <x:v>deny-by-default·secret 마스킹</x:v>
      </x:c>
      <x:c r="N64" s="46" t="str">
        <x:v>미착수</x:v>
      </x:c>
      <x:c r="O64" s="46"/>
      <x:c r="P64" s="46"/>
      <x:c r="Q64" s="46" t="str">
        <x:v>D05-BE-01의 auth/scope 확정</x:v>
      </x:c>
      <x:c r="R64" s="46" t="str">
        <x:v>최소 읽기 token이 없으면 네트워크 호출 없이 fixture contract test만 실행</x:v>
      </x:c>
    </x:row>
    <x:row r="65" ht="72" customHeight="1">
      <x:c r="A65" s="46" t="str">
        <x:v>5일차</x:v>
      </x:c>
      <x:c r="B65" s="46" t="n">
        <x:v>4</x:v>
      </x:c>
      <x:c r="C65" s="46" t="str">
        <x:v>백엔드·데이터</x:v>
      </x:c>
      <x:c r="D65" s="46" t="str">
        <x:v>D05-BE-04</x:v>
      </x:c>
      <x:c r="E65" s="46" t="str">
        <x:v>저장</x:v>
      </x:c>
      <x:c r="F65" s="46" t="str">
        <x:v>Cafe24 raw 보호·비식별 staging 연결</x:v>
      </x:c>
      <x:c r="G65" s="46" t="str">
        <x:v>응답 원문은 제한 저장소에 암호화 참조로 저장하고 로그·AI·개발 DB에는 sanitized record와 payload_hash만 전달한다.</x:v>
      </x:c>
      <x:c r="H65" s="46" t="str">
        <x:v>backend/app/worker/privacy/staging.py · backend/app/adapters/providers/cafe24/mapper.py</x:v>
      </x:c>
      <x:c r="I65" s="46" t="str">
        <x:v>FR-INT-004 · NFR-SEC-002 · 03 §6, 04 §5, 05 §6, 06 §4</x:v>
      </x:c>
      <x:c r="J65" s="46" t="str">
        <x:v>backend/app/worker/privacy/staging.py · backend/app/adapters/providers/cafe24/mapper.py</x:v>
      </x:c>
      <x:c r="K65" s="46" t="str">
        <x:v>pytest backend/tests/privacy/test_staging_boundary.py backend/tests/providers/cafe24/test_mapper.py -q</x:v>
      </x:c>
      <x:c r="L65" s="46" t="str">
        <x:v>raw/sanitized 건수 일치, PII 로그 0건, 원본추적 hash 존재</x:v>
      </x:c>
      <x:c r="M65" s="46" t="str">
        <x:v>원문·secret 공개 산출물 반입 금지</x:v>
      </x:c>
      <x:c r="N65" s="46" t="str">
        <x:v>미착수</x:v>
      </x:c>
      <x:c r="O65" s="46"/>
      <x:c r="P65" s="46"/>
      <x:c r="Q65" s="46" t="str">
        <x:v>D05-BE-02 응답 DTO 또는 공식 fixture</x:v>
      </x:c>
      <x:c r="R65" s="46" t="str">
        <x:v>실데이터 접근이 없으면 합성 fixture로 경계를 검증하고 실 smoke는 차단 상태로 남김</x:v>
      </x:c>
    </x:row>
    <x:row r="66" ht="72" customHeight="1">
      <x:c r="A66" s="46" t="str">
        <x:v>5일차</x:v>
      </x:c>
      <x:c r="B66" s="46" t="n">
        <x:v>5</x:v>
      </x:c>
      <x:c r="C66" s="46" t="str">
        <x:v>백엔드·데이터</x:v>
      </x:c>
      <x:c r="D66" s="46" t="str">
        <x:v>D05-BE-05</x:v>
      </x:c>
      <x:c r="E66" s="46" t="str">
        <x:v>Smoke</x:v>
      </x:c>
      <x:c r="F66" s="46" t="str">
        <x:v>Cafe24 제한 Read smoke와 증거 저장</x:v>
      </x:c>
      <x:c r="G66" s="46" t="str">
        <x:v>owner 승인 후 최대 2 page/50 item으로 상품·주문 각 1회 조회한다. 요청 method/path/scope, raw/sanitized/canonical count, cursor, before/after source 상태, write_call_count를 비공개 증거로 남긴다.</x:v>
      </x:c>
      <x:c r="H66" s="46" t="str">
        <x:v>docs/runbooks/provider_read_smoke.md · artifacts/integration/day05/cafe24_smoke.json</x:v>
      </x:c>
      <x:c r="I66" s="46" t="str">
        <x:v>FR-INT-010 · 06 G1 · 03 §6, 04 §5, 05 §6, 06 §4</x:v>
      </x:c>
      <x:c r="J66" s="46" t="str">
        <x:v>docs/runbooks/provider_read_smoke.md · artifacts/integration/day05/cafe24_smoke.json</x:v>
      </x:c>
      <x:c r="K66" s="46" t="str">
        <x:v>python scripts/run_provider_smoke.py --provider cafe24 --mode read-only --max-pages 2 --max-items 50 &amp;&amp; python scripts/assert_read_only_calls.py artifacts/integration/day05/cafe24_smoke.json</x:v>
      </x:c>
      <x:c r="L66" s="46" t="str">
        <x:v>write_call_count=0, source 변경 0, count/cursor/마스킹 증거와 실행시각·담당자가 존재</x:v>
      </x:c>
      <x:c r="M66" s="46" t="str">
        <x:v>Production 변경 요청 0·즉시중단 조건 적용</x:v>
      </x:c>
      <x:c r="N66" s="46" t="str">
        <x:v>미착수</x:v>
      </x:c>
      <x:c r="O66" s="46"/>
      <x:c r="P66" s="46"/>
      <x:c r="Q66" s="46" t="str">
        <x:v>D05-BE-01~04 통과와 비공개 테스트 계정 승인</x:v>
      </x:c>
      <x:c r="R66" s="46" t="str">
        <x:v>승인·자격증명 없음은 정상 차단으로 기록하고 공식 fixture smoke를 수행; 실제 G1 완료로 표기하지 않음</x:v>
      </x:c>
    </x:row>
    <x:row r="67" ht="72" customHeight="1">
      <x:c r="A67" s="47" t="str">
        <x:v>5일차</x:v>
      </x:c>
      <x:c r="B67" s="47" t="n">
        <x:v>1</x:v>
      </x:c>
      <x:c r="C67" s="47" t="str">
        <x:v>프론트엔드·제품</x:v>
      </x:c>
      <x:c r="D67" s="47" t="str">
        <x:v>D05-FE-01</x:v>
      </x:c>
      <x:c r="E67" s="47" t="str">
        <x:v>재고</x:v>
      </x:c>
      <x:c r="F67" s="47" t="str">
        <x:v>상품·재고 목록 테이블 구현</x:v>
      </x:c>
      <x:c r="G67" s="47" t="str">
        <x:v>SKU, 채널별 snapshot, 예상재고, 예약, 입고예정, 위험, as_of를 표시한다.</x:v>
      </x:c>
      <x:c r="H67" s="47" t="str">
        <x:v>frontend/src/app/pages/InventoryPage.tsx</x:v>
      </x:c>
      <x:c r="I67" s="47" t="str">
        <x:v>07 §5 · 03 §6, 04 §5, 05 §6, 06 §4</x:v>
      </x:c>
      <x:c r="J67" s="47" t="str">
        <x:v>frontend/src/app/inventory/page.tsx</x:v>
      </x:c>
      <x:c r="K67" s="47" t="str">
        <x:v>npm --prefix frontend test -- InventoryPage</x:v>
      </x:c>
      <x:c r="L67" s="47" t="str">
        <x:v>fixture 정렬·필터·빈상태 통과</x:v>
      </x:c>
      <x:c r="M67" s="47" t="str">
        <x:v>Production 쓰기 없음</x:v>
      </x:c>
      <x:c r="N67" s="47" t="str">
        <x:v>미착수</x:v>
      </x:c>
      <x:c r="O67" s="47"/>
      <x:c r="P67" s="47"/>
      <x:c r="Q67" s="47" t="str">
        <x:v>공동 계약 v0.1과 해당 Fixture/Mock 준비</x:v>
      </x:c>
      <x:c r="R67" s="47" t="str">
        <x:v>다른 트랙 결과가 없으면 공동 계약 기반 Mock/Fixture로 진행하고 차단 사유를 기록</x:v>
      </x:c>
    </x:row>
    <x:row r="68" ht="72" customHeight="1">
      <x:c r="A68" s="47" t="str">
        <x:v>5일차</x:v>
      </x:c>
      <x:c r="B68" s="47" t="n">
        <x:v>2</x:v>
      </x:c>
      <x:c r="C68" s="47" t="str">
        <x:v>프론트엔드·제품</x:v>
      </x:c>
      <x:c r="D68" s="47" t="str">
        <x:v>D05-FE-02</x:v>
      </x:c>
      <x:c r="E68" s="47" t="str">
        <x:v>필터</x:v>
      </x:c>
      <x:c r="F68" s="47" t="str">
        <x:v>brand/category/language/relation/risk 필터</x:v>
      </x:c>
      <x:c r="G68" s="47" t="str">
        <x:v>보드게임 도메인 metadata를 여러 조건으로 조합해 목록을 좁힌다.</x:v>
      </x:c>
      <x:c r="H68" s="47" t="str">
        <x:v>frontend/src/features/inventory/filters.tsx</x:v>
      </x:c>
      <x:c r="I68" s="47" t="str">
        <x:v>FR-KG-001 · 03 §6, 04 §5, 05 §6, 06 §4</x:v>
      </x:c>
      <x:c r="J68" s="47" t="str">
        <x:v>frontend/src/features/inventory/filters.tsx</x:v>
      </x:c>
      <x:c r="K68" s="47" t="str">
        <x:v>npm --prefix frontend test -- inventory-filters</x:v>
      </x:c>
      <x:c r="L68" s="47" t="str">
        <x:v>필터 조합 fixture와 결과 일치</x:v>
      </x:c>
      <x:c r="M68" s="47" t="str">
        <x:v>Production 쓰기 없음</x:v>
      </x:c>
      <x:c r="N68" s="47" t="str">
        <x:v>미착수</x:v>
      </x:c>
      <x:c r="O68" s="47"/>
      <x:c r="P68" s="47"/>
      <x:c r="Q68" s="47" t="str">
        <x:v>공동 계약 v0.1과 해당 Fixture/Mock 준비</x:v>
      </x:c>
      <x:c r="R68" s="47" t="str">
        <x:v>다른 트랙 결과가 없으면 공동 계약 기반 Mock/Fixture로 진행하고 차단 사유를 기록</x:v>
      </x:c>
    </x:row>
    <x:row r="69" ht="72" customHeight="1">
      <x:c r="A69" s="47" t="str">
        <x:v>5일차</x:v>
      </x:c>
      <x:c r="B69" s="47" t="n">
        <x:v>3</x:v>
      </x:c>
      <x:c r="C69" s="47" t="str">
        <x:v>프론트엔드·제품</x:v>
      </x:c>
      <x:c r="D69" s="47" t="str">
        <x:v>D05-FE-03</x:v>
      </x:c>
      <x:c r="E69" s="47" t="str">
        <x:v>안전</x:v>
      </x:c>
      <x:c r="F69" s="47" t="str">
        <x:v>실재고 편집 기능 제거 확인</x:v>
      </x:c>
      <x:c r="G69" s="47" t="str">
        <x:v>상세 화면은 계산근거·제안 Task만 제공하고 수정·동기화 실행 CTA를 만들지 않는다.</x:v>
      </x:c>
      <x:c r="H69" s="47" t="str">
        <x:v>frontend/src/app/pages/InventoryPage.tsx · frontend/src/features/inventory/InventoryDetailPanel.tsx</x:v>
      </x:c>
      <x:c r="I69" s="47" t="str">
        <x:v>FR-INV-005 · 06 §6 · 03 §6, 04 §5, 05 §6, 06 §4</x:v>
      </x:c>
      <x:c r="J69" s="47" t="str">
        <x:v>frontend/src/app/inventory/[sku]/page.tsx</x:v>
      </x:c>
      <x:c r="K69" s="47" t="str">
        <x:v>npm --prefix frontend test -- inventory-readonly</x:v>
      </x:c>
      <x:c r="L69" s="47" t="str">
        <x:v>Production 모드 write CTA 0개</x:v>
      </x:c>
      <x:c r="M69" s="47" t="str">
        <x:v>Production 쓰기 없음</x:v>
      </x:c>
      <x:c r="N69" s="47" t="str">
        <x:v>미착수</x:v>
      </x:c>
      <x:c r="O69" s="47"/>
      <x:c r="P69" s="47"/>
      <x:c r="Q69" s="47" t="str">
        <x:v>공동 계약 v0.1과 해당 Fixture/Mock 준비</x:v>
      </x:c>
      <x:c r="R69" s="47" t="str">
        <x:v>다른 트랙 결과가 없으면 공동 계약 기반 Mock/Fixture로 진행하고 차단 사유를 기록</x:v>
      </x:c>
    </x:row>
    <x:row r="70" ht="72" customHeight="1">
      <x:c r="A70" s="45" t="str">
        <x:v>6일차</x:v>
      </x:c>
      <x:c r="B70" s="45" t="n">
        <x:v>1</x:v>
      </x:c>
      <x:c r="C70" s="45" t="str">
        <x:v>AI·ML</x:v>
      </x:c>
      <x:c r="D70" s="45" t="str">
        <x:v>D06-AI-01</x:v>
      </x:c>
      <x:c r="E70" s="45" t="str">
        <x:v>분할</x:v>
      </x:c>
      <x:c r="F70" s="45" t="str">
        <x:v>Fixed-size 분할 후보 생성</x:v>
      </x:c>
      <x:c r="G70" s="45" t="str">
        <x:v>256/512/800 token과 overlap 0/64/128 조합을 같은 corpus version으로 만든다.</x:v>
      </x:c>
      <x:c r="H70" s="45" t="str">
        <x:v>ai/retrieval/chunking/fixed.py</x:v>
      </x:c>
      <x:c r="I70" s="45" t="str">
        <x:v>RAG-CHUNK-01 · 03 §6, 04 §5.2~3, 05 §6, 06 §4, 09 §5.2</x:v>
      </x:c>
      <x:c r="J70" s="45" t="str">
        <x:v>ai/retrieval/chunking/fixed.py</x:v>
      </x:c>
      <x:c r="K70" s="45" t="str">
        <x:v>make eval-chunking METHOD=fixed</x:v>
      </x:c>
      <x:c r="L70" s="45" t="str">
        <x:v>각 조합의 chunk count·길이·중복률 저장</x:v>
      </x:c>
      <x:c r="M70" s="45" t="str">
        <x:v>Production 쓰기 없음</x:v>
      </x:c>
      <x:c r="N70" s="45" t="str">
        <x:v>미착수</x:v>
      </x:c>
      <x:c r="O70" s="45"/>
      <x:c r="P70" s="45"/>
      <x:c r="Q70" s="45" t="str">
        <x:v>공동 계약 v0.1과 해당 Fixture/Mock 준비</x:v>
      </x:c>
      <x:c r="R70" s="45" t="str">
        <x:v>다른 트랙 결과가 없으면 공동 계약 기반 Mock/Fixture로 진행하고 차단 사유를 기록</x:v>
      </x:c>
    </x:row>
    <x:row r="71" ht="72" customHeight="1">
      <x:c r="A71" s="45" t="str">
        <x:v>6일차</x:v>
      </x:c>
      <x:c r="B71" s="45" t="n">
        <x:v>2</x:v>
      </x:c>
      <x:c r="C71" s="45" t="str">
        <x:v>AI·ML</x:v>
      </x:c>
      <x:c r="D71" s="45" t="str">
        <x:v>D06-AI-02</x:v>
      </x:c>
      <x:c r="E71" s="45" t="str">
        <x:v>분할</x:v>
      </x:c>
      <x:c r="F71" s="45" t="str">
        <x:v>구조 인식 분할 구현</x:v>
      </x:c>
      <x:c r="G71" s="45" t="str">
        <x:v>상품은 record 단위, 정책은 제목·문단, FAQ는 질문·답 묶음으로 분할한다.</x:v>
      </x:c>
      <x:c r="H71" s="45" t="str">
        <x:v>ai/retrieval/chunking/structured.py</x:v>
      </x:c>
      <x:c r="I71" s="45" t="str">
        <x:v>04 §5.2 · 03 §6, 04 §5.2~3, 05 §6, 06 §4, 09 §5.2</x:v>
      </x:c>
      <x:c r="J71" s="45" t="str">
        <x:v>ai/retrieval/chunking/structured.py</x:v>
      </x:c>
      <x:c r="K71" s="45" t="str">
        <x:v>make eval-chunking METHOD=structured</x:v>
      </x:c>
      <x:c r="L71" s="45" t="str">
        <x:v>필드 경계 손실 사례 기록</x:v>
      </x:c>
      <x:c r="M71" s="45" t="str">
        <x:v>Production 쓰기 없음</x:v>
      </x:c>
      <x:c r="N71" s="45" t="str">
        <x:v>미착수</x:v>
      </x:c>
      <x:c r="O71" s="45"/>
      <x:c r="P71" s="45"/>
      <x:c r="Q71" s="45" t="str">
        <x:v>공동 계약 v0.1과 해당 Fixture/Mock 준비</x:v>
      </x:c>
      <x:c r="R71" s="45" t="str">
        <x:v>다른 트랙 결과가 없으면 공동 계약 기반 Mock/Fixture로 진행하고 차단 사유를 기록</x:v>
      </x:c>
    </x:row>
    <x:row r="72" ht="72" customHeight="1">
      <x:c r="A72" s="45" t="str">
        <x:v>6일차</x:v>
      </x:c>
      <x:c r="B72" s="45" t="n">
        <x:v>3</x:v>
      </x:c>
      <x:c r="C72" s="45" t="str">
        <x:v>AI·ML</x:v>
      </x:c>
      <x:c r="D72" s="45" t="str">
        <x:v>D06-AI-03</x:v>
      </x:c>
      <x:c r="E72" s="45" t="str">
        <x:v>분할</x:v>
      </x:c>
      <x:c r="F72" s="45" t="str">
        <x:v>Semantic 분할 후보 구현</x:v>
      </x:c>
      <x:c r="G72" s="45" t="str">
        <x:v>문장 임베딩 변화점으로 분할하되 지나친 조각화 제한을 둔다.</x:v>
      </x:c>
      <x:c r="H72" s="45" t="str">
        <x:v>ai/retrieval/chunking/semantic.py</x:v>
      </x:c>
      <x:c r="I72" s="45" t="str">
        <x:v>04 §5.2 · 03 §6, 04 §5.2~3, 05 §6, 06 §4, 09 §5.2</x:v>
      </x:c>
      <x:c r="J72" s="45" t="str">
        <x:v>ai/retrieval/chunking/semantic.py</x:v>
      </x:c>
      <x:c r="K72" s="45" t="str">
        <x:v>make eval-chunking METHOD=semantic</x:v>
      </x:c>
      <x:c r="L72" s="45" t="str">
        <x:v>최소·최대 길이 제약 통과</x:v>
      </x:c>
      <x:c r="M72" s="45" t="str">
        <x:v>Production 쓰기 없음</x:v>
      </x:c>
      <x:c r="N72" s="45" t="str">
        <x:v>미착수</x:v>
      </x:c>
      <x:c r="O72" s="45"/>
      <x:c r="P72" s="45"/>
      <x:c r="Q72" s="45" t="str">
        <x:v>공동 계약 v0.1과 해당 Fixture/Mock 준비</x:v>
      </x:c>
      <x:c r="R72" s="45" t="str">
        <x:v>다른 트랙 결과가 없으면 공동 계약 기반 Mock/Fixture로 진행하고 차단 사유를 기록</x:v>
      </x:c>
    </x:row>
    <x:row r="73" ht="72" customHeight="1">
      <x:c r="A73" s="45" t="str">
        <x:v>6일차</x:v>
      </x:c>
      <x:c r="B73" s="45" t="n">
        <x:v>4</x:v>
      </x:c>
      <x:c r="C73" s="45" t="str">
        <x:v>AI·ML</x:v>
      </x:c>
      <x:c r="D73" s="45" t="str">
        <x:v>D06-AI-04</x:v>
      </x:c>
      <x:c r="E73" s="45" t="str">
        <x:v>중복</x:v>
      </x:c>
      <x:c r="F73" s="45" t="str">
        <x:v>문서·chunk 중복 제거</x:v>
      </x:c>
      <x:c r="G73" s="45" t="str">
        <x:v>source hash, normalized text hash, near-duplicate threshold로 반복 근거를 제거한다.</x:v>
      </x:c>
      <x:c r="H73" s="45" t="str">
        <x:v>ai/retrieval/deduplicate.py</x:v>
      </x:c>
      <x:c r="I73" s="45" t="str">
        <x:v>04 §5.5 · 03 §6, 04 §5.2~3, 05 §6, 06 §4, 09 §5.2</x:v>
      </x:c>
      <x:c r="J73" s="45" t="str">
        <x:v>ai/retrieval/deduplicate.py</x:v>
      </x:c>
      <x:c r="K73" s="45" t="str">
        <x:v>pytest ai/tests/retrieval/test_deduplicate.py -q</x:v>
      </x:c>
      <x:c r="L73" s="45" t="str">
        <x:v>중복 fixture 제거, 다른 버전 보존</x:v>
      </x:c>
      <x:c r="M73" s="45" t="str">
        <x:v>Production 쓰기 없음</x:v>
      </x:c>
      <x:c r="N73" s="45" t="str">
        <x:v>미착수</x:v>
      </x:c>
      <x:c r="O73" s="45"/>
      <x:c r="P73" s="45"/>
      <x:c r="Q73" s="45" t="str">
        <x:v>공동 계약 v0.1과 해당 Fixture/Mock 준비</x:v>
      </x:c>
      <x:c r="R73" s="45" t="str">
        <x:v>다른 트랙 결과가 없으면 공동 계약 기반 Mock/Fixture로 진행하고 차단 사유를 기록</x:v>
      </x:c>
    </x:row>
    <x:row r="74" ht="72" customHeight="1">
      <x:c r="A74" s="45" t="str">
        <x:v>6일차</x:v>
      </x:c>
      <x:c r="B74" s="45" t="n">
        <x:v>5</x:v>
      </x:c>
      <x:c r="C74" s="45" t="str">
        <x:v>AI·ML</x:v>
      </x:c>
      <x:c r="D74" s="45" t="str">
        <x:v>D06-AI-05</x:v>
      </x:c>
      <x:c r="E74" s="45" t="str">
        <x:v>평가</x:v>
      </x:c>
      <x:c r="F74" s="45" t="str">
        <x:v>Chunking 비교와 후보 선택</x:v>
      </x:c>
      <x:c r="G74" s="45" t="str">
        <x:v>Recall@K·MRR·nDCG와 index 크기·latency로 분할 후보를 1~2개로 좁힌다.</x:v>
      </x:c>
      <x:c r="H74" s="45" t="str">
        <x:v>artifacts/experiments/RAG-CHUNK-01/result.json</x:v>
      </x:c>
      <x:c r="I74" s="45" t="str">
        <x:v>09 §5.2 · 03 §6, 04 §5.2~3, 05 §6, 06 §4, 09 §5.2</x:v>
      </x:c>
      <x:c r="J74" s="45" t="str">
        <x:v>artifacts/experiments/RAG-CHUNK-01/result.json</x:v>
      </x:c>
      <x:c r="K74" s="45" t="str">
        <x:v>make eval-report EXP=RAG-CHUNK-01</x:v>
      </x:c>
      <x:c r="L74" s="45" t="str">
        <x:v>선택·기각 이유와 오류 질의 10건</x:v>
      </x:c>
      <x:c r="M74" s="45" t="str">
        <x:v>Production 쓰기 없음</x:v>
      </x:c>
      <x:c r="N74" s="45" t="str">
        <x:v>미착수</x:v>
      </x:c>
      <x:c r="O74" s="45"/>
      <x:c r="P74" s="45"/>
      <x:c r="Q74" s="45" t="str">
        <x:v>공동 계약 v0.1과 해당 Fixture/Mock 준비</x:v>
      </x:c>
      <x:c r="R74" s="45" t="str">
        <x:v>다른 트랙 결과가 없으면 공동 계약 기반 Mock/Fixture로 진행하고 차단 사유를 기록</x:v>
      </x:c>
    </x:row>
    <x:row r="75" ht="72" customHeight="1">
      <x:c r="A75" s="46" t="str">
        <x:v>6일차</x:v>
      </x:c>
      <x:c r="B75" s="46" t="n">
        <x:v>1</x:v>
      </x:c>
      <x:c r="C75" s="46" t="str">
        <x:v>백엔드·데이터</x:v>
      </x:c>
      <x:c r="D75" s="46" t="str">
        <x:v>D06-BE-01</x:v>
      </x:c>
      <x:c r="E75" s="46" t="str">
        <x:v>결정</x:v>
      </x:c>
      <x:c r="F75" s="46" t="str">
        <x:v>Toss POS 수집방식 결정기록 확정</x:v>
      </x:c>
      <x:c r="G75" s="46" t="str">
        <x:v>공식 문서·관리자 화면·계약 권한을 근거로 API_POLL/WEBHOOK_PLUS_RECONCILIATION/FILE_IMPORT/보호 수동 Import 중 하나를 선택하고 상품단위 판매 필드·증분 기준·export 메뉴·제한을 기록한다.</x:v>
      </x:c>
      <x:c r="H75" s="46" t="str">
        <x:v>docs/provider_capabilities/toss_pos.md</x:v>
      </x:c>
      <x:c r="I75" s="46" t="str">
        <x:v>FR-INT-002·007 · 03 §6, 04 §5.2~3, 05 §6, 06 §4, 09 §5.2</x:v>
      </x:c>
      <x:c r="J75" s="46" t="str">
        <x:v>docs/provider_capabilities/toss_pos.md</x:v>
      </x:c>
      <x:c r="K75" s="46" t="str">
        <x:v>python scripts/check_capability_matrix.py --provider toss_pos</x:v>
      </x:c>
      <x:c r="L75" s="46" t="str">
        <x:v>선택 방식이 1개이고 공식 근거·확인시각·필수 필드·결손 처리 규칙이 있음</x:v>
      </x:c>
      <x:c r="M75" s="46" t="str">
        <x:v>결제·취소·환불 실행 기능 사용 금지</x:v>
      </x:c>
      <x:c r="N75" s="46" t="str">
        <x:v>미착수</x:v>
      </x:c>
      <x:c r="O75" s="46"/>
      <x:c r="P75" s="46"/>
      <x:c r="Q75" s="46" t="str">
        <x:v>공식 근거 또는 권한 있는 관리자 화면 확인</x:v>
      </x:c>
      <x:c r="R75" s="46" t="str">
        <x:v>확정 불가 시 DemoProvider만 사용하고 UNKNOWN/BLOCKED; API가 없으면 FILE_IMPORT 후보를 검증</x:v>
      </x:c>
    </x:row>
    <x:row r="76" ht="72" customHeight="1">
      <x:c r="A76" s="46" t="str">
        <x:v>6일차</x:v>
      </x:c>
      <x:c r="B76" s="46" t="n">
        <x:v>2</x:v>
      </x:c>
      <x:c r="C76" s="46" t="str">
        <x:v>백엔드·데이터</x:v>
      </x:c>
      <x:c r="D76" s="46" t="str">
        <x:v>D06-BE-02</x:v>
      </x:c>
      <x:c r="E76" s="46" t="str">
        <x:v>구현</x:v>
      </x:c>
      <x:c r="F76" s="46" t="str">
        <x:v>Toss Adapter 또는 판매파일 Importer 구현</x:v>
      </x:c>
      <x:c r="G76" s="46" t="str">
        <x:v>D06-BE-01에서 선택한 한 방식만 구현한다. API면 ProviderReadPage와 cursor를, 파일이면 파일 hash/행번호/가져오기 batch_id를 같은 source identity 계약으로 반환한다.</x:v>
      </x:c>
      <x:c r="H76" s="46" t="str">
        <x:v>backend/app/adapters/providers/toss_pos/adapter.py · backend/app/adapters/importers/toss_pos.py</x:v>
      </x:c>
      <x:c r="I76" s="46" t="str">
        <x:v>FR-INT-002·008·009 · 03 §6, 04 §5.2~3, 05 §6, 06 §4, 09 §5.2</x:v>
      </x:c>
      <x:c r="J76" s="46" t="str">
        <x:v>backend/app/adapters/providers/toss_pos/adapter.py · backend/app/adapters/importers/toss_pos.py</x:v>
      </x:c>
      <x:c r="K76" s="46" t="str">
        <x:v>pytest backend/tests/providers/toss_pos backend/tests/importers/test_toss_pos.py -q</x:v>
      </x:c>
      <x:c r="L76" s="46" t="str">
        <x:v>선택 경로의 fixture가 canonical sale로 변환되고 재입력 효과 1회; 미선택 경로는 명시적 UNSUPPORTED</x:v>
      </x:c>
      <x:c r="M76" s="46" t="str">
        <x:v>금전·결제 원장 변경 0</x:v>
      </x:c>
      <x:c r="N76" s="46" t="str">
        <x:v>미착수</x:v>
      </x:c>
      <x:c r="O76" s="46"/>
      <x:c r="P76" s="46"/>
      <x:c r="Q76" s="46" t="str">
        <x:v>D06-BE-01 완료와 공식 샘플 또는 비식별 export fixture</x:v>
      </x:c>
      <x:c r="R76" s="46" t="str">
        <x:v>API/Webhook 불가면 FILE_IMPORT; 상품코드 없으면 Mapping Queue로 격리하고 판매수량을 추정하지 않음</x:v>
      </x:c>
    </x:row>
    <x:row r="77" ht="72" customHeight="1">
      <x:c r="A77" s="46" t="str">
        <x:v>6일차</x:v>
      </x:c>
      <x:c r="B77" s="46" t="n">
        <x:v>3</x:v>
      </x:c>
      <x:c r="C77" s="46" t="str">
        <x:v>백엔드·데이터</x:v>
      </x:c>
      <x:c r="D77" s="46" t="str">
        <x:v>D06-BE-03</x:v>
      </x:c>
      <x:c r="E77" s="46" t="str">
        <x:v>결정</x:v>
      </x:c>
      <x:c r="F77" s="46" t="str">
        <x:v>eCount 수집방식 결정기록 확정</x:v>
      </x:c>
      <x:c r="G77" s="46" t="str">
        <x:v>공식 근거로 재고 snapshot·입고예정·판매 resource의 API/Export/보호 수동 Import 가능 여부, 인증, 증분키, 조회기간, 단위·창고 필드를 확정한다.</x:v>
      </x:c>
      <x:c r="H77" s="46" t="str">
        <x:v>docs/provider_capabilities/ecount.md</x:v>
      </x:c>
      <x:c r="I77" s="46" t="str">
        <x:v>FR-INT-003·007 · 03 §6, 04 §5.2~3, 05 §6, 06 §4, 09 §5.2</x:v>
      </x:c>
      <x:c r="J77" s="46" t="str">
        <x:v>docs/provider_capabilities/ecount.md</x:v>
      </x:c>
      <x:c r="K77" s="46" t="str">
        <x:v>python scripts/check_capability_matrix.py --provider ecount</x:v>
      </x:c>
      <x:c r="L77" s="46" t="str">
        <x:v>resource별 선택 방식·필수 필드·미지원 항목·대체 방식이 기록됨</x:v>
      </x:c>
      <x:c r="M77" s="46" t="str">
        <x:v>재고조정·발주·입고확정 호출 금지</x:v>
      </x:c>
      <x:c r="N77" s="46" t="str">
        <x:v>미착수</x:v>
      </x:c>
      <x:c r="O77" s="46"/>
      <x:c r="P77" s="46"/>
      <x:c r="Q77" s="46" t="str">
        <x:v>공식 문서 또는 권한 있는 export 화면 확인</x:v>
      </x:c>
      <x:c r="R77" s="46" t="str">
        <x:v>API 불가면 FILE_IMPORT; 필요한 필드 없는 export만 있으면 UNSUPPORTED로 두고 숫자 추정 금지</x:v>
      </x:c>
    </x:row>
    <x:row r="78" ht="72" customHeight="1">
      <x:c r="A78" s="46" t="str">
        <x:v>6일차</x:v>
      </x:c>
      <x:c r="B78" s="46" t="n">
        <x:v>4</x:v>
      </x:c>
      <x:c r="C78" s="46" t="str">
        <x:v>백엔드·데이터</x:v>
      </x:c>
      <x:c r="D78" s="46" t="str">
        <x:v>D06-BE-04</x:v>
      </x:c>
      <x:c r="E78" s="46" t="str">
        <x:v>구현</x:v>
      </x:c>
      <x:c r="F78" s="46" t="str">
        <x:v>eCount Adapter 또는 재고·입고 파일 Importer 구현</x:v>
      </x:c>
      <x:c r="G78" s="46" t="str">
        <x:v>D06-BE-03 선택에 따라 snapshot/incoming/sale을 읽고 page/cursor 또는 file hash/batch_id를 반환한다. 창고·단위·상품코드 미확정은 quarantine한다.</x:v>
      </x:c>
      <x:c r="H78" s="46" t="str">
        <x:v>backend/app/adapters/providers/ecount/adapter.py · backend/app/adapters/importers/ecount.py</x:v>
      </x:c>
      <x:c r="I78" s="46" t="str">
        <x:v>FR-INT-003·008·009 · 03 §6, 04 §5.2~3, 05 §6, 06 §4, 09 §5.2</x:v>
      </x:c>
      <x:c r="J78" s="46" t="str">
        <x:v>backend/app/adapters/providers/ecount/adapter.py · backend/app/adapters/importers/ecount.py</x:v>
      </x:c>
      <x:c r="K78" s="46" t="str">
        <x:v>pytest backend/tests/providers/ecount backend/tests/importers/test_ecount.py -q</x:v>
      </x:c>
      <x:c r="L78" s="46" t="str">
        <x:v>선택 경로 계약 통과, 단위·창고 누락은 원장 미반영, 중복 import 효과 1회</x:v>
      </x:c>
      <x:c r="M78" s="46" t="str">
        <x:v>실재고·입고 상태 변경 0</x:v>
      </x:c>
      <x:c r="N78" s="46" t="str">
        <x:v>미착수</x:v>
      </x:c>
      <x:c r="O78" s="46"/>
      <x:c r="P78" s="46"/>
      <x:c r="Q78" s="46" t="str">
        <x:v>D06-BE-03 완료와 공식 샘플 또는 비식별 export fixture</x:v>
      </x:c>
      <x:c r="R78" s="46" t="str">
        <x:v>API 불가면 FILE_IMPORT; export도 불충분하면 해당 resource를 UNSUPPORTED로 잠그고 Demo fixture 사용</x:v>
      </x:c>
    </x:row>
    <x:row r="79" ht="72" customHeight="1">
      <x:c r="A79" s="46" t="str">
        <x:v>6일차</x:v>
      </x:c>
      <x:c r="B79" s="46" t="n">
        <x:v>5</x:v>
      </x:c>
      <x:c r="C79" s="46" t="str">
        <x:v>백엔드·데이터</x:v>
      </x:c>
      <x:c r="D79" s="46" t="str">
        <x:v>D06-BE-05</x:v>
      </x:c>
      <x:c r="E79" s="46" t="str">
        <x:v>정규화</x:v>
      </x:c>
      <x:c r="F79" s="46" t="str">
        <x:v>세 Provider DTO→Canonical 매핑표와 정규화기 구현</x:v>
      </x:c>
      <x:c r="G79" s="46" t="str">
        <x:v>Cafe24/Toss/eCount의 실제 또는 파일 DTO를 canonical product/order/sale/inventory/incoming/event로 변환한다. 필드별 source path, 변환식, 단위, nullable, unknown 정책을 manifest에 기록한다.</x:v>
      </x:c>
      <x:c r="H79" s="46" t="str">
        <x:v>backend/app/worker/normalizers/ · contracts/provider_field_mapping.yaml</x:v>
      </x:c>
      <x:c r="I79" s="46" t="str">
        <x:v>FR-INT-004~005 · 03 §6, 04 §5.2~3, 05 §6, 06 §4, 09 §5.2</x:v>
      </x:c>
      <x:c r="J79" s="46" t="str">
        <x:v>backend/app/worker/normalizers/ · contracts/provider_field_mapping.yaml</x:v>
      </x:c>
      <x:c r="K79" s="46" t="str">
        <x:v>pytest backend/tests/normalizers backend/tests/data_quality/test_canonical_checks.py -q</x:v>
      </x:c>
      <x:c r="L79" s="46" t="str">
        <x:v>선택 방식 fixture field coverage 100%, unknown 보존, ambiguous 상품 자동 병합 0</x:v>
      </x:c>
      <x:c r="M79" s="46" t="str">
        <x:v>불명확 수량·통화·상태 추정 금지</x:v>
      </x:c>
      <x:c r="N79" s="46" t="str">
        <x:v>미착수</x:v>
      </x:c>
      <x:c r="O79" s="46"/>
      <x:c r="P79" s="46"/>
      <x:c r="Q79" s="46" t="str">
        <x:v>D05-BE-02·D06-BE-02·04의 선택 경로 fixture</x:v>
      </x:c>
      <x:c r="R79" s="46" t="str">
        <x:v>실 Provider fixture가 없으면 계약 fixture로 구현하되 manifest에 NOT_LIVE_VERIFIED 표시</x:v>
      </x:c>
    </x:row>
    <x:row r="80" ht="72" customHeight="1">
      <x:c r="A80" s="47" t="str">
        <x:v>6일차</x:v>
      </x:c>
      <x:c r="B80" s="47" t="n">
        <x:v>1</x:v>
      </x:c>
      <x:c r="C80" s="47" t="str">
        <x:v>프론트엔드·제품</x:v>
      </x:c>
      <x:c r="D80" s="47" t="str">
        <x:v>D06-FE-01</x:v>
      </x:c>
      <x:c r="E80" s="47" t="str">
        <x:v>검토큐</x:v>
      </x:c>
      <x:c r="F80" s="47" t="str">
        <x:v>애매한 상품연결 검토 화면</x:v>
      </x:c>
      <x:c r="G80" s="47" t="str">
        <x:v>원문명, 후보 SKU, confidence, rule, source를 나란히 표시하고 Demo에서만 결정을 저장한다.</x:v>
      </x:c>
      <x:c r="H80" s="47" t="str">
        <x:v>frontend/src/app/pages/SettingsPage.tsx · frontend/src/features/inventory/MappingReview.tsx</x:v>
      </x:c>
      <x:c r="I80" s="47" t="str">
        <x:v>07 §10 · 03 §6, 04 §5.2~3, 05 §6, 06 §4, 09 §5.2</x:v>
      </x:c>
      <x:c r="J80" s="47" t="str">
        <x:v>frontend/src/app/settings/mappings/page.tsx</x:v>
      </x:c>
      <x:c r="K80" s="47" t="str">
        <x:v>npm --prefix frontend test -- MappingQueue</x:v>
      </x:c>
      <x:c r="L80" s="47" t="str">
        <x:v>자동 선택 없이 명시적 검토 필요</x:v>
      </x:c>
      <x:c r="M80" s="47" t="str">
        <x:v>Production 쓰기 없음</x:v>
      </x:c>
      <x:c r="N80" s="47" t="str">
        <x:v>미착수</x:v>
      </x:c>
      <x:c r="O80" s="47"/>
      <x:c r="P80" s="47"/>
      <x:c r="Q80" s="47" t="str">
        <x:v>공동 계약 v0.1과 해당 Fixture/Mock 준비</x:v>
      </x:c>
      <x:c r="R80" s="47" t="str">
        <x:v>다른 트랙 결과가 없으면 공동 계약 기반 Mock/Fixture로 진행하고 차단 사유를 기록</x:v>
      </x:c>
    </x:row>
    <x:row r="81" ht="72" customHeight="1">
      <x:c r="A81" s="47" t="str">
        <x:v>6일차</x:v>
      </x:c>
      <x:c r="B81" s="47" t="n">
        <x:v>2</x:v>
      </x:c>
      <x:c r="C81" s="47" t="str">
        <x:v>프론트엔드·제품</x:v>
      </x:c>
      <x:c r="D81" s="47" t="str">
        <x:v>D06-FE-02</x:v>
      </x:c>
      <x:c r="E81" s="47" t="str">
        <x:v>최신성</x:v>
      </x:c>
      <x:c r="F81" s="47" t="str">
        <x:v>데이터 시점과 stale 설명 표시</x:v>
      </x:c>
      <x:c r="G81" s="47" t="str">
        <x:v>재고값 옆에 as_of와 source를 보이고 TTL 초과 사유를 툴팁과 문장으로 제공한다.</x:v>
      </x:c>
      <x:c r="H81" s="47" t="str">
        <x:v>frontend/src/components/FreshnessLabel.tsx</x:v>
      </x:c>
      <x:c r="I81" s="47" t="str">
        <x:v>FR-INV-004 · 03 §6, 04 §5.2~3, 05 §6, 06 §4, 09 §5.2</x:v>
      </x:c>
      <x:c r="J81" s="47" t="str">
        <x:v>frontend/src/components/FreshnessLabel.tsx</x:v>
      </x:c>
      <x:c r="K81" s="47" t="str">
        <x:v>npm --prefix frontend test -- FreshnessLabel</x:v>
      </x:c>
      <x:c r="L81" s="47" t="str">
        <x:v>fresh/stale/unknown 모두 표시</x:v>
      </x:c>
      <x:c r="M81" s="47" t="str">
        <x:v>Production 쓰기 없음</x:v>
      </x:c>
      <x:c r="N81" s="47" t="str">
        <x:v>미착수</x:v>
      </x:c>
      <x:c r="O81" s="47"/>
      <x:c r="P81" s="47"/>
      <x:c r="Q81" s="47" t="str">
        <x:v>공동 계약 v0.1과 해당 Fixture/Mock 준비</x:v>
      </x:c>
      <x:c r="R81" s="47" t="str">
        <x:v>다른 트랙 결과가 없으면 공동 계약 기반 Mock/Fixture로 진행하고 차단 사유를 기록</x:v>
      </x:c>
    </x:row>
    <x:row r="82" ht="72" customHeight="1">
      <x:c r="A82" s="47" t="str">
        <x:v>6일차</x:v>
      </x:c>
      <x:c r="B82" s="47" t="n">
        <x:v>3</x:v>
      </x:c>
      <x:c r="C82" s="47" t="str">
        <x:v>프론트엔드·제품</x:v>
      </x:c>
      <x:c r="D82" s="47" t="str">
        <x:v>D06-FE-03</x:v>
      </x:c>
      <x:c r="E82" s="47" t="str">
        <x:v>오류</x:v>
      </x:c>
      <x:c r="F82" s="47" t="str">
        <x:v>quarantine·미연결 상태 화면</x:v>
      </x:c>
      <x:c r="G82" s="47" t="str">
        <x:v>수집 성공과 업무 사용 가능 상태를 구분하여 잘못된 확정 경고를 막는다.</x:v>
      </x:c>
      <x:c r="H82" s="47" t="str">
        <x:v>frontend/src/features/integrations/QualityStatus.tsx</x:v>
      </x:c>
      <x:c r="I82" s="47" t="str">
        <x:v>07 §13 · 03 §6, 04 §5.2~3, 05 §6, 06 §4, 09 §5.2</x:v>
      </x:c>
      <x:c r="J82" s="47" t="str">
        <x:v>frontend/src/features/integrations/QualityStatus.tsx</x:v>
      </x:c>
      <x:c r="K82" s="47" t="str">
        <x:v>npm --prefix frontend test -- QualityStatus</x:v>
      </x:c>
      <x:c r="L82" s="47" t="str">
        <x:v>quarantine record가 재고 합계에 안 보임</x:v>
      </x:c>
      <x:c r="M82" s="47" t="str">
        <x:v>Production 쓰기 없음</x:v>
      </x:c>
      <x:c r="N82" s="47" t="str">
        <x:v>미착수</x:v>
      </x:c>
      <x:c r="O82" s="47"/>
      <x:c r="P82" s="47"/>
      <x:c r="Q82" s="47" t="str">
        <x:v>공동 계약 v0.1과 해당 Fixture/Mock 준비</x:v>
      </x:c>
      <x:c r="R82" s="47" t="str">
        <x:v>다른 트랙 결과가 없으면 공동 계약 기반 Mock/Fixture로 진행하고 차단 사유를 기록</x:v>
      </x:c>
    </x:row>
    <x:row r="83" ht="72" customHeight="1">
      <x:c r="A83" s="45" t="str">
        <x:v>7일차</x:v>
      </x:c>
      <x:c r="B83" s="45" t="n">
        <x:v>1</x:v>
      </x:c>
      <x:c r="C83" s="45" t="str">
        <x:v>AI·ML</x:v>
      </x:c>
      <x:c r="D83" s="45" t="str">
        <x:v>D07-AI-01</x:v>
      </x:c>
      <x:c r="E83" s="45" t="str">
        <x:v>색인</x:v>
      </x:c>
      <x:c r="F83" s="45" t="str">
        <x:v>BM25 색인·검색 구현</x:v>
      </x:c>
      <x:c r="G83" s="45" t="str">
        <x:v>상품명·브랜드·SKU·정책 제목에 가중치를 주고 metadata filter를 먼저 적용한다.</x:v>
      </x:c>
      <x:c r="H83" s="45" t="str">
        <x:v>ai/retrieval/bm25.py</x:v>
      </x:c>
      <x:c r="I83" s="45" t="str">
        <x:v>RAG-01 · 04 §5.4~5, 05 §2, 07 §7</x:v>
      </x:c>
      <x:c r="J83" s="45" t="str">
        <x:v>ai/retrieval/bm25.py</x:v>
      </x:c>
      <x:c r="K83" s="45" t="str">
        <x:v>make eval-retrieval METHOD=bm25</x:v>
      </x:c>
      <x:c r="L83" s="45" t="str">
        <x:v>Recall@K·MRR·nDCG·latency 저장</x:v>
      </x:c>
      <x:c r="M83" s="45" t="str">
        <x:v>Production 쓰기 없음</x:v>
      </x:c>
      <x:c r="N83" s="45" t="str">
        <x:v>미착수</x:v>
      </x:c>
      <x:c r="O83" s="45"/>
      <x:c r="P83" s="45"/>
      <x:c r="Q83" s="45" t="str">
        <x:v>공동 계약 v0.1과 해당 Fixture/Mock 준비</x:v>
      </x:c>
      <x:c r="R83" s="45" t="str">
        <x:v>다른 트랙 결과가 없으면 공동 계약 기반 Mock/Fixture로 진행하고 차단 사유를 기록</x:v>
      </x:c>
    </x:row>
    <x:row r="84" ht="72" customHeight="1">
      <x:c r="A84" s="45" t="str">
        <x:v>7일차</x:v>
      </x:c>
      <x:c r="B84" s="45" t="n">
        <x:v>2</x:v>
      </x:c>
      <x:c r="C84" s="45" t="str">
        <x:v>AI·ML</x:v>
      </x:c>
      <x:c r="D84" s="45" t="str">
        <x:v>D07-AI-02</x:v>
      </x:c>
      <x:c r="E84" s="45" t="str">
        <x:v>색인</x:v>
      </x:c>
      <x:c r="F84" s="45" t="str">
        <x:v>Dense vector 색인·검색 구현</x:v>
      </x:c>
      <x:c r="G84" s="45" t="str">
        <x:v>동일 chunk와 metadata로 embedding version을 고정하고 cosine 검색을 실행한다.</x:v>
      </x:c>
      <x:c r="H84" s="45" t="str">
        <x:v>ai/retrieval/dense.py</x:v>
      </x:c>
      <x:c r="I84" s="45" t="str">
        <x:v>RAG-01 · 04 §5.4~5, 05 §2, 07 §7</x:v>
      </x:c>
      <x:c r="J84" s="45" t="str">
        <x:v>ai/retrieval/dense.py</x:v>
      </x:c>
      <x:c r="K84" s="45" t="str">
        <x:v>make eval-retrieval METHOD=vector</x:v>
      </x:c>
      <x:c r="L84" s="45" t="str">
        <x:v>동일 Golden Set 결과 저장</x:v>
      </x:c>
      <x:c r="M84" s="45" t="str">
        <x:v>Production 쓰기 없음</x:v>
      </x:c>
      <x:c r="N84" s="45" t="str">
        <x:v>미착수</x:v>
      </x:c>
      <x:c r="O84" s="45"/>
      <x:c r="P84" s="45"/>
      <x:c r="Q84" s="45" t="str">
        <x:v>공동 계약 v0.1과 해당 Fixture/Mock 준비</x:v>
      </x:c>
      <x:c r="R84" s="45" t="str">
        <x:v>다른 트랙 결과가 없으면 공동 계약 기반 Mock/Fixture로 진행하고 차단 사유를 기록</x:v>
      </x:c>
    </x:row>
    <x:row r="85" ht="72" customHeight="1">
      <x:c r="A85" s="45" t="str">
        <x:v>7일차</x:v>
      </x:c>
      <x:c r="B85" s="45" t="n">
        <x:v>3</x:v>
      </x:c>
      <x:c r="C85" s="45" t="str">
        <x:v>AI·ML</x:v>
      </x:c>
      <x:c r="D85" s="45" t="str">
        <x:v>D07-AI-03</x:v>
      </x:c>
      <x:c r="E85" s="45" t="str">
        <x:v>필터</x:v>
      </x:c>
      <x:c r="F85" s="45" t="str">
        <x:v>Product/Brand/Category/Language 관계 필터</x:v>
      </x:c>
      <x:c r="G85" s="45" t="str">
        <x:v>질문에서 확정 가능한 metadata만 필터에 넣고 불확실한 필터는 검색 recall을 막지 않게 한다.</x:v>
      </x:c>
      <x:c r="H85" s="45" t="str">
        <x:v>ai/retrieval/filters.py</x:v>
      </x:c>
      <x:c r="I85" s="45" t="str">
        <x:v>04 §5.3~4 · 04 §5.4~5, 05 §2, 07 §7</x:v>
      </x:c>
      <x:c r="J85" s="45" t="str">
        <x:v>ai/retrieval/filters.py</x:v>
      </x:c>
      <x:c r="K85" s="45" t="str">
        <x:v>pytest ai/tests/retrieval/test_filters.py -q</x:v>
      </x:c>
      <x:c r="L85" s="45" t="str">
        <x:v>확정·불확정 filter fixture 통과</x:v>
      </x:c>
      <x:c r="M85" s="45" t="str">
        <x:v>Production 쓰기 없음</x:v>
      </x:c>
      <x:c r="N85" s="45" t="str">
        <x:v>미착수</x:v>
      </x:c>
      <x:c r="O85" s="45"/>
      <x:c r="P85" s="45"/>
      <x:c r="Q85" s="45" t="str">
        <x:v>공동 계약 v0.1과 해당 Fixture/Mock 준비</x:v>
      </x:c>
      <x:c r="R85" s="45" t="str">
        <x:v>다른 트랙 결과가 없으면 공동 계약 기반 Mock/Fixture로 진행하고 차단 사유를 기록</x:v>
      </x:c>
    </x:row>
    <x:row r="86" ht="72" customHeight="1">
      <x:c r="A86" s="45" t="str">
        <x:v>7일차</x:v>
      </x:c>
      <x:c r="B86" s="45" t="n">
        <x:v>4</x:v>
      </x:c>
      <x:c r="C86" s="45" t="str">
        <x:v>AI·ML</x:v>
      </x:c>
      <x:c r="D86" s="45" t="str">
        <x:v>D07-AI-04</x:v>
      </x:c>
      <x:c r="E86" s="45" t="str">
        <x:v>신뢰도</x:v>
      </x:c>
      <x:c r="F86" s="45" t="str">
        <x:v>검색 신뢰도 기준선 산출</x:v>
      </x:c>
      <x:c r="G86" s="45" t="str">
        <x:v>top score, score gap, source freshness, 결과 수로 high/medium/low를 계산한다.</x:v>
      </x:c>
      <x:c r="H86" s="45" t="str">
        <x:v>ai/retrieval/confidence.py</x:v>
      </x:c>
      <x:c r="I86" s="45" t="str">
        <x:v>04 §5.6 · 04 §5.4~5, 05 §2, 07 §7</x:v>
      </x:c>
      <x:c r="J86" s="45" t="str">
        <x:v>ai/retrieval/confidence.py</x:v>
      </x:c>
      <x:c r="K86" s="45" t="str">
        <x:v>pytest ai/tests/retrieval/test_confidence.py -q</x:v>
      </x:c>
      <x:c r="L86" s="45" t="str">
        <x:v>근거부족 질문이 low/abstain</x:v>
      </x:c>
      <x:c r="M86" s="45" t="str">
        <x:v>Production 쓰기 없음</x:v>
      </x:c>
      <x:c r="N86" s="45" t="str">
        <x:v>미착수</x:v>
      </x:c>
      <x:c r="O86" s="45"/>
      <x:c r="P86" s="45"/>
      <x:c r="Q86" s="45" t="str">
        <x:v>공동 계약 v0.1과 해당 Fixture/Mock 준비</x:v>
      </x:c>
      <x:c r="R86" s="45" t="str">
        <x:v>다른 트랙 결과가 없으면 공동 계약 기반 Mock/Fixture로 진행하고 차단 사유를 기록</x:v>
      </x:c>
    </x:row>
    <x:row r="87" ht="72" customHeight="1">
      <x:c r="A87" s="45" t="str">
        <x:v>7일차</x:v>
      </x:c>
      <x:c r="B87" s="45" t="n">
        <x:v>5</x:v>
      </x:c>
      <x:c r="C87" s="45" t="str">
        <x:v>AI·ML</x:v>
      </x:c>
      <x:c r="D87" s="45" t="str">
        <x:v>D07-AI-05</x:v>
      </x:c>
      <x:c r="E87" s="45" t="str">
        <x:v>평가</x:v>
      </x:c>
      <x:c r="F87" s="45" t="str">
        <x:v>BM25 vs Vector 오류 비교</x:v>
      </x:c>
      <x:c r="G87" s="45" t="str">
        <x:v>정확명·띄어쓰기·자연어·관계·최신성 질의별 우열을 error analysis로 남긴다.</x:v>
      </x:c>
      <x:c r="H87" s="45" t="str">
        <x:v>artifacts/experiments/RAG-01/result.json</x:v>
      </x:c>
      <x:c r="I87" s="45" t="str">
        <x:v>RAG-01 · 04 §5.4~5, 05 §2, 07 §7</x:v>
      </x:c>
      <x:c r="J87" s="45" t="str">
        <x:v>artifacts/experiments/RAG-01/result.json</x:v>
      </x:c>
      <x:c r="K87" s="45" t="str">
        <x:v>make eval-report EXP=RAG-01</x:v>
      </x:c>
      <x:c r="L87" s="45" t="str">
        <x:v>방법별 강점·약점과 다음 Hybrid 가설</x:v>
      </x:c>
      <x:c r="M87" s="45" t="str">
        <x:v>Production 쓰기 없음</x:v>
      </x:c>
      <x:c r="N87" s="45" t="str">
        <x:v>미착수</x:v>
      </x:c>
      <x:c r="O87" s="45"/>
      <x:c r="P87" s="45"/>
      <x:c r="Q87" s="45" t="str">
        <x:v>공동 계약 v0.1과 해당 Fixture/Mock 준비</x:v>
      </x:c>
      <x:c r="R87" s="45" t="str">
        <x:v>다른 트랙 결과가 없으면 공동 계약 기반 Mock/Fixture로 진행하고 차단 사유를 기록</x:v>
      </x:c>
    </x:row>
    <x:row r="88" ht="72" customHeight="1">
      <x:c r="A88" s="46" t="str">
        <x:v>7일차</x:v>
      </x:c>
      <x:c r="B88" s="46" t="n">
        <x:v>1</x:v>
      </x:c>
      <x:c r="C88" s="46" t="str">
        <x:v>백엔드·데이터</x:v>
      </x:c>
      <x:c r="D88" s="46" t="str">
        <x:v>D07-BE-01</x:v>
      </x:c>
      <x:c r="E88" s="46" t="str">
        <x:v>상태</x:v>
      </x:c>
      <x:c r="F88" s="46" t="str">
        <x:v>Provider별 SyncState·CursorStore 구현</x:v>
      </x:c>
      <x:c r="G88" s="46" t="str">
        <x:v>tenant/provider/resource별 cursor, watermark, overlap_start, last_success_at, schema_version, last_error를 저장하고 성공한 canonical transaction 뒤에만 cursor를 commit한다.</x:v>
      </x:c>
      <x:c r="H88" s="46" t="str">
        <x:v>backend/app/sync/cursor_store.py</x:v>
      </x:c>
      <x:c r="I88" s="46" t="str">
        <x:v>FR-INT-007 · 04 §5.4~5, 05 §2, 07 §7</x:v>
      </x:c>
      <x:c r="J88" s="46" t="str">
        <x:v>backend/app/sync/cursor_store.py</x:v>
      </x:c>
      <x:c r="K88" s="46" t="str">
        <x:v>pytest backend/tests/sync/test_cursor_store.py -q</x:v>
      </x:c>
      <x:c r="L88" s="46" t="str">
        <x:v>실패 page에서 cursor 미전진, 재개 시 마지막 성공 지점+overlap에서 시작</x:v>
      </x:c>
      <x:c r="M88" s="46" t="str">
        <x:v>Provider 원본 변경 없음</x:v>
      </x:c>
      <x:c r="N88" s="46" t="str">
        <x:v>미착수</x:v>
      </x:c>
      <x:c r="O88" s="46"/>
      <x:c r="P88" s="46"/>
      <x:c r="Q88" s="46" t="str">
        <x:v>D03-BE-01 공통 계약과 D05~06 선택 방식</x:v>
      </x:c>
      <x:c r="R88" s="46" t="str">
        <x:v>cursor 없는 파일 Import는 file hash+batch_id를 checkpoint로 사용</x:v>
      </x:c>
    </x:row>
    <x:row r="89" ht="72" customHeight="1">
      <x:c r="A89" s="46" t="str">
        <x:v>7일차</x:v>
      </x:c>
      <x:c r="B89" s="46" t="n">
        <x:v>2</x:v>
      </x:c>
      <x:c r="C89" s="46" t="str">
        <x:v>백엔드·데이터</x:v>
      </x:c>
      <x:c r="D89" s="46" t="str">
        <x:v>D07-BE-02</x:v>
      </x:c>
      <x:c r="E89" s="46" t="str">
        <x:v>제어</x:v>
      </x:c>
      <x:c r="F89" s="46" t="str">
        <x:v>페이지 순회·rate limit·retry·부분실패 정책 구현</x:v>
      </x:c>
      <x:c r="G89" s="46" t="str">
        <x:v>429/5xx/timeout만 bounded exponential backoff+jitter로 재시도하고 4xx schema/auth는 즉시 중단한다. max page/item/time budget과 Retry-After를 적용한다.</x:v>
      </x:c>
      <x:c r="H89" s="46" t="str">
        <x:v>backend/app/sync/runner.py · backend/app/sync/retry_policy.py</x:v>
      </x:c>
      <x:c r="I89" s="46" t="str">
        <x:v>FR-INT-008 · 04 §5.4~5, 05 §2, 07 §7</x:v>
      </x:c>
      <x:c r="J89" s="46" t="str">
        <x:v>backend/app/sync/runner.py · backend/app/sync/retry_policy.py</x:v>
      </x:c>
      <x:c r="K89" s="46" t="str">
        <x:v>pytest backend/tests/sync/test_pagination_retry.py backend/tests/sync/test_partial_failure.py -q</x:v>
      </x:c>
      <x:c r="L89" s="46" t="str">
        <x:v>무한호출 0, Retry-After 준수, 부분실패 후 재개·오류코드 명확</x:v>
      </x:c>
      <x:c r="M89" s="46" t="str">
        <x:v>요청 예산 초과 시 안전 중단</x:v>
      </x:c>
      <x:c r="N89" s="46" t="str">
        <x:v>미착수</x:v>
      </x:c>
      <x:c r="O89" s="46"/>
      <x:c r="P89" s="46"/>
      <x:c r="Q89" s="46" t="str">
        <x:v>D07-BE-01과 Provider fixture의 rate/error 사례</x:v>
      </x:c>
      <x:c r="R89" s="46" t="str">
        <x:v>외부 계정 없이 fault fixture로 전부 검증</x:v>
      </x:c>
    </x:row>
    <x:row r="90" ht="72" customHeight="1">
      <x:c r="A90" s="46" t="str">
        <x:v>7일차</x:v>
      </x:c>
      <x:c r="B90" s="46" t="n">
        <x:v>3</x:v>
      </x:c>
      <x:c r="C90" s="46" t="str">
        <x:v>백엔드·데이터</x:v>
      </x:c>
      <x:c r="D90" s="46" t="str">
        <x:v>D07-BE-03</x:v>
      </x:c>
      <x:c r="E90" s="46" t="str">
        <x:v>복구</x:v>
      </x:c>
      <x:c r="F90" s="46" t="str">
        <x:v>중복방지·quarantine·mapping·재처리 연결</x:v>
      </x:c>
      <x:c r="G90" s="46" t="str">
        <x:v>source identity로 Inbox와 원장 효과를 1회로 제한하고 ambiguous/invalid record는 quarantine과 Mapping Queue로 보낸 뒤 승인된 mapping/schema로 재처리한다.</x:v>
      </x:c>
      <x:c r="H90" s="46" t="str">
        <x:v>backend/app/worker/ingestion/idempotency.py · backend/app/worker/ingestion/reprocess.py · backend/app/routes/mappings.py</x:v>
      </x:c>
      <x:c r="I90" s="46" t="str">
        <x:v>FR-INT-005~006 · 04 §5.4~5, 05 §2, 07 §7</x:v>
      </x:c>
      <x:c r="J90" s="46" t="str">
        <x:v>backend/app/worker/ingestion/idempotency.py · backend/app/worker/ingestion/reprocess.py · backend/app/routes/mappings.py</x:v>
      </x:c>
      <x:c r="K90" s="46" t="str">
        <x:v>pytest backend/tests/ingestion/test_idempotency.py backend/tests/ingestion/test_reprocess.py backend/tests/api/test_mapping_queue.py -q</x:v>
      </x:c>
      <x:c r="L90" s="46" t="str">
        <x:v>10회 재생 효과 1회, ambiguous 자동병합 0, 재처리 감사로그 존재</x:v>
      </x:c>
      <x:c r="M90" s="46" t="str">
        <x:v>불확실 record 원장 미반영</x:v>
      </x:c>
      <x:c r="N90" s="46" t="str">
        <x:v>미착수</x:v>
      </x:c>
      <x:c r="O90" s="46"/>
      <x:c r="P90" s="46"/>
      <x:c r="Q90" s="46" t="str">
        <x:v>D06-BE-05 정규화 manifest</x:v>
      </x:c>
      <x:c r="R90" s="46" t="str">
        <x:v>미확정 mapping은 수동 검토 상태로 유지하고 합계에서 제외</x:v>
      </x:c>
    </x:row>
    <x:row r="91" ht="72" customHeight="1">
      <x:c r="A91" s="46" t="str">
        <x:v>7일차</x:v>
      </x:c>
      <x:c r="B91" s="46" t="n">
        <x:v>4</x:v>
      </x:c>
      <x:c r="C91" s="46" t="str">
        <x:v>백엔드·데이터</x:v>
      </x:c>
      <x:c r="D91" s="46" t="str">
        <x:v>D07-BE-04</x:v>
      </x:c>
      <x:c r="E91" s="46" t="str">
        <x:v>원장</x:v>
      </x:c>
      <x:c r="F91" s="46" t="str">
        <x:v>재고 원장·예상값·차이확인 서비스 연결</x:v>
      </x:c>
      <x:c r="G91" s="46" t="str">
        <x:v>append-only ledger와 source snapshot+delta-reserved 계산, stale/허용오차 기반 reconciliation을 구현하고 근거 ID를 반환한다.</x:v>
      </x:c>
      <x:c r="H91" s="46" t="str">
        <x:v>backend/app/services/inventory_ledger.py · backend/app/services/inventory_projection.py · backend/app/services/inventory_reconciliation.py</x:v>
      </x:c>
      <x:c r="I91" s="46" t="str">
        <x:v>FR-INV-001~004 · 04 §5.4~5, 05 §2, 07 §7</x:v>
      </x:c>
      <x:c r="J91" s="46" t="str">
        <x:v>backend/app/services/inventory_ledger.py · backend/app/services/inventory_projection.py · backend/app/services/inventory_reconciliation.py</x:v>
      </x:c>
      <x:c r="K91" s="46" t="str">
        <x:v>pytest backend/tests/inventory/test_ledger.py backend/tests/inventory/test_projection.py backend/tests/inventory/test_reconciliation.py -q</x:v>
      </x:c>
      <x:c r="L91" s="46" t="str">
        <x:v>중복 불변·fixture 계산 일치·stale 확정경고 0</x:v>
      </x:c>
      <x:c r="M91" s="46" t="str">
        <x:v>외부 재고 자동수정 없음</x:v>
      </x:c>
      <x:c r="N91" s="46" t="str">
        <x:v>미착수</x:v>
      </x:c>
      <x:c r="O91" s="46"/>
      <x:c r="P91" s="46"/>
      <x:c r="Q91" s="46" t="str">
        <x:v>D07-BE-03의 canonical event와 snapshot fixture</x:v>
      </x:c>
      <x:c r="R91" s="46" t="str">
        <x:v>Provider 일부 미지원이면 available source만 표시하고 UNKNOWN을 0으로 대체하지 않음</x:v>
      </x:c>
    </x:row>
    <x:row r="92" ht="72" customHeight="1">
      <x:c r="A92" s="46" t="str">
        <x:v>7일차</x:v>
      </x:c>
      <x:c r="B92" s="46" t="n">
        <x:v>5</x:v>
      </x:c>
      <x:c r="C92" s="46" t="str">
        <x:v>백엔드·데이터</x:v>
      </x:c>
      <x:c r="D92" s="46" t="str">
        <x:v>D07-BE-05</x:v>
      </x:c>
      <x:c r="E92" s="46" t="str">
        <x:v>운영</x:v>
      </x:c>
      <x:c r="F92" s="46" t="str">
        <x:v>동기화 CLI·스케줄과 2천 SKU 기준선</x:v>
      </x:c>
      <x:c r="G92" s="46" t="str">
        <x:v>provider/resource/since/max-pages/dry-run 옵션의 CLI와 주기 실행 lock을 만들고 합성 2천 SKU·90일 event에서 수집+계산 p50/p95, DB query, 중복률을 기록한다.</x:v>
      </x:c>
      <x:c r="H92" s="46" t="str">
        <x:v>backend/app/sync/cli.py · backend/tests/performance/test_inventory_projection.py</x:v>
      </x:c>
      <x:c r="I92" s="46" t="str">
        <x:v>NFR-PERF-001·NFR-OPS-001 · 04 §5.4~5, 05 §2, 07 §7</x:v>
      </x:c>
      <x:c r="J92" s="46" t="str">
        <x:v>backend/app/sync/cli.py · backend/tests/performance/test_inventory_projection.py</x:v>
      </x:c>
      <x:c r="K92" s="46" t="str">
        <x:v>python -m apps.worker.sync.cli --provider demo --resource sales --dry-run &amp;&amp; make benchmark-inventory</x:v>
      </x:c>
      <x:c r="L92" s="46" t="str">
        <x:v>동시 실행 1개, dry-run 외부 write 0, 기준 수치·병목 query·실행 manifest 저장</x:v>
      </x:c>
      <x:c r="M92" s="46" t="str">
        <x:v>초기 Production 스케줄 비활성</x:v>
      </x:c>
      <x:c r="N92" s="46" t="str">
        <x:v>미착수</x:v>
      </x:c>
      <x:c r="O92" s="46"/>
      <x:c r="P92" s="46"/>
      <x:c r="Q92" s="46" t="str">
        <x:v>D07-BE-01~04 통과</x:v>
      </x:c>
      <x:c r="R92" s="46" t="str">
        <x:v>실 Provider 스케줄 승인 전 DemoProvider로 실행하고 설정은 disabled 유지</x:v>
      </x:c>
    </x:row>
    <x:row r="93" ht="72" customHeight="1">
      <x:c r="A93" s="47" t="str">
        <x:v>7일차</x:v>
      </x:c>
      <x:c r="B93" s="47" t="n">
        <x:v>1</x:v>
      </x:c>
      <x:c r="C93" s="47" t="str">
        <x:v>프론트엔드·제품</x:v>
      </x:c>
      <x:c r="D93" s="47" t="str">
        <x:v>D07-FE-01</x:v>
      </x:c>
      <x:c r="E93" s="47" t="str">
        <x:v>문의</x:v>
      </x:c>
      <x:c r="F93" s="47" t="str">
        <x:v>고객문의 세 영역 화면 구현</x:v>
      </x:c>
      <x:c r="G93" s="47" t="str">
        <x:v>문의목록, 원문·분류, 근거·답변초안 영역을 배치한다.</x:v>
      </x:c>
      <x:c r="H93" s="47" t="str">
        <x:v>frontend/src/app/pages/InquiriesPage.tsx</x:v>
      </x:c>
      <x:c r="I93" s="47" t="str">
        <x:v>07 §7 · 04 §5.4~5, 05 §2, 07 §7</x:v>
      </x:c>
      <x:c r="J93" s="47" t="str">
        <x:v>frontend/src/app/inquiries/page.tsx</x:v>
      </x:c>
      <x:c r="K93" s="47" t="str">
        <x:v>npm --prefix frontend test -- InquiryPage</x:v>
      </x:c>
      <x:c r="L93" s="47" t="str">
        <x:v>low/high risk fixture가 다른 상태로 표시</x:v>
      </x:c>
      <x:c r="M93" s="47" t="str">
        <x:v>Production 쓰기 없음</x:v>
      </x:c>
      <x:c r="N93" s="47" t="str">
        <x:v>미착수</x:v>
      </x:c>
      <x:c r="O93" s="47"/>
      <x:c r="P93" s="47"/>
      <x:c r="Q93" s="47" t="str">
        <x:v>공동 계약 v0.1과 해당 Fixture/Mock 준비</x:v>
      </x:c>
      <x:c r="R93" s="47" t="str">
        <x:v>다른 트랙 결과가 없으면 공동 계약 기반 Mock/Fixture로 진행하고 차단 사유를 기록</x:v>
      </x:c>
    </x:row>
    <x:row r="94" ht="72" customHeight="1">
      <x:c r="A94" s="47" t="str">
        <x:v>7일차</x:v>
      </x:c>
      <x:c r="B94" s="47" t="n">
        <x:v>2</x:v>
      </x:c>
      <x:c r="C94" s="47" t="str">
        <x:v>프론트엔드·제품</x:v>
      </x:c>
      <x:c r="D94" s="47" t="str">
        <x:v>D07-FE-02</x:v>
      </x:c>
      <x:c r="E94" s="47" t="str">
        <x:v>근거</x:v>
      </x:c>
      <x:c r="F94" s="47" t="str">
        <x:v>검색 출처 카드 구현</x:v>
      </x:c>
      <x:c r="G94" s="47" t="str">
        <x:v>source title, record/field, as_of, confidence와 열기 기능을 제공한다.</x:v>
      </x:c>
      <x:c r="H94" s="47" t="str">
        <x:v>frontend/src/features/inquiries/CitationCard.tsx</x:v>
      </x:c>
      <x:c r="I94" s="47" t="str">
        <x:v>FR-CS-002 · 04 §5.4~5, 05 §2, 07 §7</x:v>
      </x:c>
      <x:c r="J94" s="47" t="str">
        <x:v>frontend/src/features/inquiries/CitationCard.tsx</x:v>
      </x:c>
      <x:c r="K94" s="47" t="str">
        <x:v>npm --prefix frontend test -- CitationCard</x:v>
      </x:c>
      <x:c r="L94" s="47" t="str">
        <x:v>근거 0건이면 답변 대신 보류 표시</x:v>
      </x:c>
      <x:c r="M94" s="47" t="str">
        <x:v>Production 쓰기 없음</x:v>
      </x:c>
      <x:c r="N94" s="47" t="str">
        <x:v>미착수</x:v>
      </x:c>
      <x:c r="O94" s="47"/>
      <x:c r="P94" s="47"/>
      <x:c r="Q94" s="47" t="str">
        <x:v>공동 계약 v0.1과 해당 Fixture/Mock 준비</x:v>
      </x:c>
      <x:c r="R94" s="47" t="str">
        <x:v>다른 트랙 결과가 없으면 공동 계약 기반 Mock/Fixture로 진행하고 차단 사유를 기록</x:v>
      </x:c>
    </x:row>
    <x:row r="95" ht="72" customHeight="1">
      <x:c r="A95" s="47" t="str">
        <x:v>7일차</x:v>
      </x:c>
      <x:c r="B95" s="47" t="n">
        <x:v>3</x:v>
      </x:c>
      <x:c r="C95" s="47" t="str">
        <x:v>프론트엔드·제품</x:v>
      </x:c>
      <x:c r="D95" s="47" t="str">
        <x:v>D07-FE-03</x:v>
      </x:c>
      <x:c r="E95" s="47" t="str">
        <x:v>안전</x:v>
      </x:c>
      <x:c r="F95" s="47" t="str">
        <x:v>답변초안·자동전송 분리</x:v>
      </x:c>
      <x:c r="G95" s="47" t="str">
        <x:v>초안임을 명확히 표시하고 전송 버튼은 Core Build에서 제공하지 않는다.</x:v>
      </x:c>
      <x:c r="H95" s="47" t="str">
        <x:v>frontend/src/features/inquiries/DraftPanel.tsx</x:v>
      </x:c>
      <x:c r="I95" s="47" t="str">
        <x:v>FR-CS-003~004 · 04 §5.4~5, 05 §2, 07 §7</x:v>
      </x:c>
      <x:c r="J95" s="47" t="str">
        <x:v>frontend/src/features/inquiries/DraftPanel.tsx</x:v>
      </x:c>
      <x:c r="K95" s="47" t="str">
        <x:v>npm --prefix frontend test -- DraftPanel</x:v>
      </x:c>
      <x:c r="L95" s="47" t="str">
        <x:v>자동전송 네트워크 호출 0건</x:v>
      </x:c>
      <x:c r="M95" s="47" t="str">
        <x:v>Production 쓰기 없음</x:v>
      </x:c>
      <x:c r="N95" s="47" t="str">
        <x:v>미착수</x:v>
      </x:c>
      <x:c r="O95" s="47"/>
      <x:c r="P95" s="47"/>
      <x:c r="Q95" s="47" t="str">
        <x:v>공동 계약 v0.1과 해당 Fixture/Mock 준비</x:v>
      </x:c>
      <x:c r="R95" s="47" t="str">
        <x:v>다른 트랙 결과가 없으면 공동 계약 기반 Mock/Fixture로 진행하고 차단 사유를 기록</x:v>
      </x:c>
    </x:row>
    <x:row r="96" ht="72" customHeight="1">
      <x:c r="A96" s="45" t="str">
        <x:v>8일차</x:v>
      </x:c>
      <x:c r="B96" s="45" t="n">
        <x:v>1</x:v>
      </x:c>
      <x:c r="C96" s="45" t="str">
        <x:v>AI·ML</x:v>
      </x:c>
      <x:c r="D96" s="45" t="str">
        <x:v>D08-AI-01</x:v>
      </x:c>
      <x:c r="E96" s="45" t="str">
        <x:v>통합</x:v>
      </x:c>
      <x:c r="F96" s="45" t="str">
        <x:v>Retrieval service API 연결</x:v>
      </x:c>
      <x:c r="G96" s="45" t="str">
        <x:v>query, filters, top_k, method를 받고 citations/confidence/index_version을 반환한다.</x:v>
      </x:c>
      <x:c r="H96" s="45" t="str">
        <x:v>ai/services/retrieval_service.py</x:v>
      </x:c>
      <x:c r="I96" s="45" t="str">
        <x:v>FR-CS-002 · 03 §5~6, 05 §6, 06 §4·13, 09 Day 8, 04 RAG</x:v>
      </x:c>
      <x:c r="J96" s="45" t="str">
        <x:v>ai/services/retrieval_service.py</x:v>
      </x:c>
      <x:c r="K96" s="45" t="str">
        <x:v>pytest ai/tests/integration/test_retrieval_service.py -q</x:v>
      </x:c>
      <x:c r="L96" s="45" t="str">
        <x:v>BM25/Vector 선택과 필터 동작</x:v>
      </x:c>
      <x:c r="M96" s="45" t="str">
        <x:v>Production 쓰기 없음</x:v>
      </x:c>
      <x:c r="N96" s="45" t="str">
        <x:v>미착수</x:v>
      </x:c>
      <x:c r="O96" s="45"/>
      <x:c r="P96" s="45"/>
      <x:c r="Q96" s="45" t="str">
        <x:v>공동 계약 v0.1과 해당 Fixture/Mock 준비</x:v>
      </x:c>
      <x:c r="R96" s="45" t="str">
        <x:v>다른 트랙 결과가 없으면 공동 계약 기반 Mock/Fixture로 진행하고 차단 사유를 기록</x:v>
      </x:c>
    </x:row>
    <x:row r="97" ht="72" customHeight="1">
      <x:c r="A97" s="45" t="str">
        <x:v>8일차</x:v>
      </x:c>
      <x:c r="B97" s="45" t="n">
        <x:v>2</x:v>
      </x:c>
      <x:c r="C97" s="45" t="str">
        <x:v>AI·ML</x:v>
      </x:c>
      <x:c r="D97" s="45" t="str">
        <x:v>D08-AI-02</x:v>
      </x:c>
      <x:c r="E97" s="45" t="str">
        <x:v>평가</x:v>
      </x:c>
      <x:c r="F97" s="45" t="str">
        <x:v>RAG-01 결과 snapshot 잠금</x:v>
      </x:c>
      <x:c r="G97" s="45" t="str">
        <x:v>Golden Set hash, corpus/index/embedding version과 지표를 변경 불가 manifest로 저장한다.</x:v>
      </x:c>
      <x:c r="H97" s="45" t="str">
        <x:v>artifacts/integration/day08/retrieval_baseline.json</x:v>
      </x:c>
      <x:c r="I97" s="45" t="str">
        <x:v>RAG-01 · 03 §5~6, 05 §6, 06 §4·13, 09 Day 8, 04 RAG</x:v>
      </x:c>
      <x:c r="J97" s="45" t="str">
        <x:v>artifacts/integration/day08/retrieval_baseline.json</x:v>
      </x:c>
      <x:c r="K97" s="45" t="str">
        <x:v>python -m ai.evaluation.validate_manifest artifacts/integration/day08/retrieval_baseline.json</x:v>
      </x:c>
      <x:c r="L97" s="45" t="str">
        <x:v>재현 필드 누락 0개</x:v>
      </x:c>
      <x:c r="M97" s="45" t="str">
        <x:v>Production 쓰기 없음</x:v>
      </x:c>
      <x:c r="N97" s="45" t="str">
        <x:v>미착수</x:v>
      </x:c>
      <x:c r="O97" s="45"/>
      <x:c r="P97" s="45"/>
      <x:c r="Q97" s="45" t="str">
        <x:v>공동 계약 v0.1과 해당 Fixture/Mock 준비</x:v>
      </x:c>
      <x:c r="R97" s="45" t="str">
        <x:v>다른 트랙 결과가 없으면 공동 계약 기반 Mock/Fixture로 진행하고 차단 사유를 기록</x:v>
      </x:c>
    </x:row>
    <x:row r="98" ht="72" customHeight="1">
      <x:c r="A98" s="45" t="str">
        <x:v>8일차</x:v>
      </x:c>
      <x:c r="B98" s="45" t="n">
        <x:v>3</x:v>
      </x:c>
      <x:c r="C98" s="45" t="str">
        <x:v>AI·ML</x:v>
      </x:c>
      <x:c r="D98" s="45" t="str">
        <x:v>D08-AI-03</x:v>
      </x:c>
      <x:c r="E98" s="45" t="str">
        <x:v>실패</x:v>
      </x:c>
      <x:c r="F98" s="45" t="str">
        <x:v>근거부족·stale fallback 시험</x:v>
      </x:c>
      <x:c r="G98" s="45" t="str">
        <x:v>low confidence 또는 stale inventory 질문은 확답하지 않고 확인 필요와 source 시점을 반환한다.</x:v>
      </x:c>
      <x:c r="H98" s="45" t="str">
        <x:v>ai/tests/retrieval/test_rag_fallback.py</x:v>
      </x:c>
      <x:c r="I98" s="45" t="str">
        <x:v>04 §5.6 · 03 §5~6, 05 §6, 06 §4·13, 09 Day 8, 04 RAG</x:v>
      </x:c>
      <x:c r="J98" s="45" t="str">
        <x:v>ai/tests/retrieval/test_rag_fallback.py</x:v>
      </x:c>
      <x:c r="K98" s="45" t="str">
        <x:v>pytest ai/tests/retrieval/test_rag_fallback.py -q</x:v>
      </x:c>
      <x:c r="L98" s="45" t="str">
        <x:v>위험 hallucination 0건</x:v>
      </x:c>
      <x:c r="M98" s="45" t="str">
        <x:v>Production 쓰기 없음</x:v>
      </x:c>
      <x:c r="N98" s="45" t="str">
        <x:v>미착수</x:v>
      </x:c>
      <x:c r="O98" s="45"/>
      <x:c r="P98" s="45"/>
      <x:c r="Q98" s="45" t="str">
        <x:v>공동 계약 v0.1과 해당 Fixture/Mock 준비</x:v>
      </x:c>
      <x:c r="R98" s="45" t="str">
        <x:v>다른 트랙 결과가 없으면 공동 계약 기반 Mock/Fixture로 진행하고 차단 사유를 기록</x:v>
      </x:c>
    </x:row>
    <x:row r="99" ht="72" customHeight="1">
      <x:c r="A99" s="45" t="str">
        <x:v>8일차</x:v>
      </x:c>
      <x:c r="B99" s="45" t="n">
        <x:v>4</x:v>
      </x:c>
      <x:c r="C99" s="45" t="str">
        <x:v>AI·ML</x:v>
      </x:c>
      <x:c r="D99" s="45" t="str">
        <x:v>D08-AI-04</x:v>
      </x:c>
      <x:c r="E99" s="45" t="str">
        <x:v>추적</x:v>
      </x:c>
      <x:c r="F99" s="45" t="str">
        <x:v>검색 trace를 request_id에 연결</x:v>
      </x:c>
      <x:c r="G99" s="45" t="str">
        <x:v>query rewrite 전후, filters, candidates, rerank 전 top-k, citations를 저장한다.</x:v>
      </x:c>
      <x:c r="H99" s="45" t="str">
        <x:v>ai/retrieval/trace.py</x:v>
      </x:c>
      <x:c r="I99" s="45" t="str">
        <x:v>NFR-OBS-001 · 03 §5~6, 05 §6, 06 §4·13, 09 Day 8, 04 RAG</x:v>
      </x:c>
      <x:c r="J99" s="45" t="str">
        <x:v>ai/retrieval/trace.py</x:v>
      </x:c>
      <x:c r="K99" s="45" t="str">
        <x:v>pytest ai/tests/retrieval/test_trace.py -q</x:v>
      </x:c>
      <x:c r="L99" s="45" t="str">
        <x:v>질문 하나의 검색 경로 재현 가능</x:v>
      </x:c>
      <x:c r="M99" s="45" t="str">
        <x:v>Production 쓰기 없음</x:v>
      </x:c>
      <x:c r="N99" s="45" t="str">
        <x:v>미착수</x:v>
      </x:c>
      <x:c r="O99" s="45"/>
      <x:c r="P99" s="45"/>
      <x:c r="Q99" s="45" t="str">
        <x:v>공동 계약 v0.1과 해당 Fixture/Mock 준비</x:v>
      </x:c>
      <x:c r="R99" s="45" t="str">
        <x:v>다른 트랙 결과가 없으면 공동 계약 기반 Mock/Fixture로 진행하고 차단 사유를 기록</x:v>
      </x:c>
    </x:row>
    <x:row r="100" ht="72" customHeight="1">
      <x:c r="A100" s="45" t="str">
        <x:v>8일차</x:v>
      </x:c>
      <x:c r="B100" s="45" t="n">
        <x:v>5</x:v>
      </x:c>
      <x:c r="C100" s="45" t="str">
        <x:v>AI·ML</x:v>
      </x:c>
      <x:c r="D100" s="45" t="str">
        <x:v>D08-AI-05</x:v>
      </x:c>
      <x:c r="E100" s="45" t="str">
        <x:v>비용</x:v>
      </x:c>
      <x:c r="F100" s="45" t="str">
        <x:v>검색 기준선 지연·비용 기록</x:v>
      </x:c>
      <x:c r="G100" s="45" t="str">
        <x:v>index latency, embedding call, cache 여부를 LLM 비용과 분리해 기록한다.</x:v>
      </x:c>
      <x:c r="H100" s="45" t="str">
        <x:v>artifacts/integration/day08/retrieval_cost.csv</x:v>
      </x:c>
      <x:c r="I100" s="45" t="str">
        <x:v>04 §11.2 · 03 §5~6, 05 §6, 06 §4·13, 09 Day 8, 04 RAG</x:v>
      </x:c>
      <x:c r="J100" s="45" t="str">
        <x:v>artifacts/integration/day08/retrieval_cost.csv</x:v>
      </x:c>
      <x:c r="K100" s="45" t="str">
        <x:v>make benchmark-retrieval</x:v>
      </x:c>
      <x:c r="L100" s="45" t="str">
        <x:v>method별 p50/p95와 비용</x:v>
      </x:c>
      <x:c r="M100" s="45" t="str">
        <x:v>Production 쓰기 없음</x:v>
      </x:c>
      <x:c r="N100" s="45" t="str">
        <x:v>미착수</x:v>
      </x:c>
      <x:c r="O100" s="45"/>
      <x:c r="P100" s="45"/>
      <x:c r="Q100" s="45" t="str">
        <x:v>공동 계약 v0.1과 해당 Fixture/Mock 준비</x:v>
      </x:c>
      <x:c r="R100" s="45" t="str">
        <x:v>다른 트랙 결과가 없으면 공동 계약 기반 Mock/Fixture로 진행하고 차단 사유를 기록</x:v>
      </x:c>
    </x:row>
    <x:row r="101" ht="72" customHeight="1">
      <x:c r="A101" s="46" t="str">
        <x:v>8일차</x:v>
      </x:c>
      <x:c r="B101" s="46" t="n">
        <x:v>1</x:v>
      </x:c>
      <x:c r="C101" s="46" t="str">
        <x:v>백엔드·데이터</x:v>
      </x:c>
      <x:c r="D101" s="46" t="str">
        <x:v>D08-BE-01</x:v>
      </x:c>
      <x:c r="E101" s="46" t="str">
        <x:v>Cafe24</x:v>
      </x:c>
      <x:c r="F101" s="46" t="str">
        <x:v>Cafe24 Read Adapter 통합 시험</x:v>
      </x:c>
      <x:c r="G101" s="46" t="str">
        <x:v>허용된 계정이면 제한 smoke를, 아니면 공식 fixture를 adapter→staging→normalize→Inbox까지 실행하고 page/cursor/raw/sanitized/canonical count를 대조한다.</x:v>
      </x:c>
      <x:c r="H101" s="46" t="str">
        <x:v>backend/tests/integration/test_day08_cafe24_read.py · artifacts/integration/day08/cafe24_read.json</x:v>
      </x:c>
      <x:c r="I101" s="46" t="str">
        <x:v>FR-INT-001·010 · 03 §5~6, 05 §6, 06 §4·13, 09 Day 8, 04 RAG</x:v>
      </x:c>
      <x:c r="J101" s="46" t="str">
        <x:v>backend/tests/integration/test_day08_cafe24_read.py · artifacts/integration/day08/cafe24_read.json</x:v>
      </x:c>
      <x:c r="K101" s="46" t="str">
        <x:v>pytest backend/tests/integration/test_day08_cafe24_read.py -q &amp;&amp; python scripts/assert_read_only_calls.py artifacts/integration/day08/cafe24_read.json</x:v>
      </x:c>
      <x:c r="L101" s="46" t="str">
        <x:v>선택 mode·근거·count·cursor·PII scan·write_call_count=0이 증거에 있음</x:v>
      </x:c>
      <x:c r="M101" s="46" t="str">
        <x:v>원본 변경 0·최대 호출 예산</x:v>
      </x:c>
      <x:c r="N101" s="46" t="str">
        <x:v>미착수</x:v>
      </x:c>
      <x:c r="O101" s="46"/>
      <x:c r="P101" s="46"/>
      <x:c r="Q101" s="46" t="str">
        <x:v>D05-BE-01~05 완료 또는 명시적 BLOCKED+공식 fixture</x:v>
      </x:c>
      <x:c r="R101" s="46" t="str">
        <x:v>실계정 불가 시 fixture 결과와 차단 이유를 분리 기록; LIVE_VERIFIED 표기 금지</x:v>
      </x:c>
    </x:row>
    <x:row r="102" ht="72" customHeight="1">
      <x:c r="A102" s="46" t="str">
        <x:v>8일차</x:v>
      </x:c>
      <x:c r="B102" s="46" t="n">
        <x:v>2</x:v>
      </x:c>
      <x:c r="C102" s="46" t="str">
        <x:v>백엔드·데이터</x:v>
      </x:c>
      <x:c r="D102" s="46" t="str">
        <x:v>D08-BE-02</x:v>
      </x:c>
      <x:c r="E102" s="46" t="str">
        <x:v>Toss·eCount</x:v>
      </x:c>
      <x:c r="F102" s="46" t="str">
        <x:v>Toss·eCount 선택 Adapter/Importer 통합 시험</x:v>
      </x:c>
      <x:c r="G102" s="46" t="str">
        <x:v>각 결정기록의 선택 경로만 실행하여 sale/snapshot/incoming을 canonical로 만들고 상품결손은 Mapping Queue, 잘못된 행은 quarantine으로 보낸다.</x:v>
      </x:c>
      <x:c r="H102" s="46" t="str">
        <x:v>backend/tests/integration/test_day08_toss_ecount.py · artifacts/integration/day08/toss_ecount.json</x:v>
      </x:c>
      <x:c r="I102" s="46" t="str">
        <x:v>FR-INT-002~004·009 · 03 §5~6, 05 §6, 06 §4·13, 09 Day 8, 04 RAG</x:v>
      </x:c>
      <x:c r="J102" s="46" t="str">
        <x:v>backend/tests/integration/test_day08_toss_ecount.py · artifacts/integration/day08/toss_ecount.json</x:v>
      </x:c>
      <x:c r="K102" s="46" t="str">
        <x:v>pytest backend/tests/integration/test_day08_toss_ecount.py -q</x:v>
      </x:c>
      <x:c r="L102" s="46" t="str">
        <x:v>Provider별 mode·입력 hash/호출·수신/정상/격리 건수·source identity가 일치</x:v>
      </x:c>
      <x:c r="M102" s="46" t="str">
        <x:v>결제·환불·실재고 변경 0</x:v>
      </x:c>
      <x:c r="N102" s="46" t="str">
        <x:v>미착수</x:v>
      </x:c>
      <x:c r="O102" s="46"/>
      <x:c r="P102" s="46"/>
      <x:c r="Q102" s="46" t="str">
        <x:v>D06-BE-01~05 완료</x:v>
      </x:c>
      <x:c r="R102" s="46" t="str">
        <x:v>API 미지원은 FILE_IMPORT를 정상 경로로 검증; 필수 필드 미지원은 UNSUPPORTED로 명시</x:v>
      </x:c>
    </x:row>
    <x:row r="103" ht="72" customHeight="1">
      <x:c r="A103" s="46" t="str">
        <x:v>8일차</x:v>
      </x:c>
      <x:c r="B103" s="46" t="n">
        <x:v>3</x:v>
      </x:c>
      <x:c r="C103" s="46" t="str">
        <x:v>백엔드·데이터</x:v>
      </x:c>
      <x:c r="D103" s="46" t="str">
        <x:v>D08-BE-03</x:v>
      </x:c>
      <x:c r="E103" s="46" t="str">
        <x:v>복구</x:v>
      </x:c>
      <x:c r="F103" s="46" t="str">
        <x:v>cursor 재개·429·중복·부분실패 통합 시험</x:v>
      </x:c>
      <x:c r="G103" s="46" t="str">
        <x:v>2페이지 수집 중 429와 5xx를 주입하고 재개한 뒤 같은 sale을 10회 재생한다. 성공 transaction 뒤에만 cursor가 이동하고 ledger 효과는 1회여야 한다.</x:v>
      </x:c>
      <x:c r="H103" s="46" t="str">
        <x:v>backend/tests/integration/test_day08_sync_recovery.py</x:v>
      </x:c>
      <x:c r="I103" s="46" t="str">
        <x:v>FR-INT-006~008 · 03 §5~6, 05 §6, 06 §4·13, 09 Day 8, 04 RAG</x:v>
      </x:c>
      <x:c r="J103" s="46" t="str">
        <x:v>backend/tests/integration/test_day08_sync_recovery.py</x:v>
      </x:c>
      <x:c r="K103" s="46" t="str">
        <x:v>pytest backend/tests/integration/test_day08_sync_recovery.py -q</x:v>
      </x:c>
      <x:c r="L103" s="46" t="str">
        <x:v>Retry-After 준수, 무한호출 0, cursor 손실 0, ledger delta 1회</x:v>
      </x:c>
      <x:c r="M103" s="46" t="str">
        <x:v>재시도 상한·안전 종료</x:v>
      </x:c>
      <x:c r="N103" s="46" t="str">
        <x:v>미착수</x:v>
      </x:c>
      <x:c r="O103" s="46"/>
      <x:c r="P103" s="46"/>
      <x:c r="Q103" s="46" t="str">
        <x:v>D07-BE-01~03 통과</x:v>
      </x:c>
      <x:c r="R103" s="46" t="str">
        <x:v>실 Provider fault 주입이 불가하면 transport fixture로 재현</x:v>
      </x:c>
    </x:row>
    <x:row r="104" ht="72" customHeight="1">
      <x:c r="A104" s="46" t="str">
        <x:v>8일차</x:v>
      </x:c>
      <x:c r="B104" s="46" t="n">
        <x:v>4</x:v>
      </x:c>
      <x:c r="C104" s="46" t="str">
        <x:v>백엔드·데이터</x:v>
      </x:c>
      <x:c r="D104" s="46" t="str">
        <x:v>D08-BE-04</x:v>
      </x:c>
      <x:c r="E104" s="46" t="str">
        <x:v>안전</x:v>
      </x:c>
      <x:c r="F104" s="46" t="str">
        <x:v>원본 무변경·비식별·건수 대사 증거 확정</x:v>
      </x:c>
      <x:c r="G104" s="46" t="str">
        <x:v>Provider/file별 요청 method/path/scope 또는 file hash, raw/sanitized/canonical/quarantine count, PII/secret scan, write_call_count, before/after source 상태를 하나의 manifest로 합친다.</x:v>
      </x:c>
      <x:c r="H104" s="46" t="str">
        <x:v>artifacts/integration/day08/provider_read_manifest.json</x:v>
      </x:c>
      <x:c r="I104" s="46" t="str">
        <x:v>FR-INT-010 · 06 G1 · 03 §5~6, 05 §6, 06 §4·13, 09 Day 8, 04 RAG</x:v>
      </x:c>
      <x:c r="J104" s="46" t="str">
        <x:v>artifacts/integration/day08/provider_read_manifest.json</x:v>
      </x:c>
      <x:c r="K104" s="46" t="str">
        <x:v>python scripts/validate_provider_read_manifest.py artifacts/integration/day08/provider_read_manifest.json</x:v>
      </x:c>
      <x:c r="L104" s="46" t="str">
        <x:v>필수 Provider별 모든 필드 존재, PII/secret=0, write_call_count=0, source_changed=false</x:v>
      </x:c>
      <x:c r="M104" s="46" t="str">
        <x:v>증거 비공개 저장·secret 마스킹</x:v>
      </x:c>
      <x:c r="N104" s="46" t="str">
        <x:v>미착수</x:v>
      </x:c>
      <x:c r="O104" s="46"/>
      <x:c r="P104" s="46"/>
      <x:c r="Q104" s="46" t="str">
        <x:v>D08-BE-01~03 결과</x:v>
      </x:c>
      <x:c r="R104" s="46" t="str">
        <x:v>실 Read 미승인 Provider는 verification_level=CONTRACT_ONLY로 표시하고 전체 G1 통과에서 제외</x:v>
      </x:c>
    </x:row>
    <x:row r="105" ht="72" customHeight="1">
      <x:c r="A105" s="46" t="str">
        <x:v>8일차</x:v>
      </x:c>
      <x:c r="B105" s="46" t="n">
        <x:v>5</x:v>
      </x:c>
      <x:c r="C105" s="46" t="str">
        <x:v>백엔드·데이터</x:v>
      </x:c>
      <x:c r="D105" s="46" t="str">
        <x:v>D08-BE-05</x:v>
      </x:c>
      <x:c r="E105" s="46" t="str">
        <x:v>판정</x:v>
      </x:c>
      <x:c r="F105" s="46" t="str">
        <x:v>Day 8 API 연동 판정·결함·다음주기 잠금</x:v>
      </x:c>
      <x:c r="G105" s="46" t="str">
        <x:v>Provider별 LIVE_READ/FILE_IMPORT/CONTRACT_ONLY/UNSUPPORTED 상태, 지원 resource, 남은 차단, owner, 목표일을 확정하고 계약 변경은 version/migration과 함께 기록한다. D04-FE-INTEGRATION-001의 Backend Insight→Frontend Evidence 계약 결정과 재검수 결과도 함께 기록한다.</x:v>
      </x:c>
      <x:c r="H105" s="46" t="str">
        <x:v>artifacts/integration/day08/provider_decision.md · artifacts/integration/day08/defects.csv</x:v>
      </x:c>
      <x:c r="I105" s="46" t="str">
        <x:v>09 Day 8·§10 · 03 §5~6, 05 §6, 06 §4·13, 09 Day 8, 04 RAG</x:v>
      </x:c>
      <x:c r="J105" s="46" t="str">
        <x:v>artifacts/integration/day08/provider_decision.md · artifacts/integration/day08/defects.csv</x:v>
      </x:c>
      <x:c r="K105" s="46" t="str">
        <x:v>python scripts/validate_defect_log.py artifacts/integration/day08/defects.csv &amp;&amp; python scripts/check_capability_matrix.py --all</x:v>
      </x:c>
      <x:c r="L105" s="46" t="str">
        <x:v>모든 Provider/resource 및 D04-FE-INTEGRATION-001에 상태·근거·owner·다음조치가 있어 구현자가 추측할 항목 0개</x:v>
      </x:c>
      <x:c r="M105" s="46" t="str">
        <x:v>미검증 기능을 지원으로 표시 금지</x:v>
      </x:c>
      <x:c r="N105" s="46" t="str">
        <x:v>미착수</x:v>
      </x:c>
      <x:c r="O105" s="46"/>
      <x:c r="P105" s="46" t="str">
        <x:v>D04-FE-INTEGRATION-001이 미해결이면 임시 evidence/proposal을 만들지 않고 OPEN/BLOCKED와 다음 재검수 Day를 유지</x:v>
      </x:c>
      <x:c r="Q105" s="46" t="str">
        <x:v>D08-BE-01~04 결과</x:v>
      </x:c>
      <x:c r="R105" s="46" t="str">
        <x:v>차단이 남아도 기능을 삭제하지 않고 Mock/Importer 경로로 다음 작업 진행</x:v>
      </x:c>
    </x:row>
    <x:row r="106" ht="72" customHeight="1">
      <x:c r="A106" s="47" t="str">
        <x:v>8일차</x:v>
      </x:c>
      <x:c r="B106" s="47" t="n">
        <x:v>1</x:v>
      </x:c>
      <x:c r="C106" s="47" t="str">
        <x:v>프론트엔드·제품</x:v>
      </x:c>
      <x:c r="D106" s="47" t="str">
        <x:v>D08-FE-01</x:v>
      </x:c>
      <x:c r="E106" s="47" t="str">
        <x:v>E2E</x:v>
      </x:c>
      <x:c r="F106" s="47" t="str">
        <x:v>오프라인 판매→재고 위험 화면</x:v>
      </x:c>
      <x:c r="G106" s="47" t="str">
        <x:v>Demo event 발생 후 예상재고·불일치·Task 제안·근거를 확인한다. D04-FE-INTEGRATION-001을 재검수하여 실제 Backend Insight가 확정된 Projection을 통해 Queue와 EvidenceDrawer까지 이어지는지 확인한다.</x:v>
      </x:c>
      <x:c r="H106" s="47" t="str">
        <x:v>frontend/e2e/offline-inventory.spec.ts</x:v>
      </x:c>
      <x:c r="I106" s="47" t="str">
        <x:v>AC-E2E-01 · 03 §5~6, 05 §6, 06 §4·13, 09 Day 8, 04 RAG</x:v>
      </x:c>
      <x:c r="J106" s="47" t="str">
        <x:v>frontend/e2e/offline-inventory.spec.ts</x:v>
      </x:c>
      <x:c r="K106" s="47" t="str">
        <x:v>npm --prefix frontend run e2e -- offline-inventory</x:v>
      </x:c>
      <x:c r="L106" s="47" t="str">
        <x:v>영상·스크린샷·request_id 저장, Backend 실제 응답→Queue→EvidenceDrawer E2E PASS 또는 계약 차단 Finding의 owner·재검수 Day 명시</x:v>
      </x:c>
      <x:c r="M106" s="47" t="str">
        <x:v>Production 쓰기 없음</x:v>
      </x:c>
      <x:c r="N106" s="47" t="str">
        <x:v>미착수</x:v>
      </x:c>
      <x:c r="O106" s="47"/>
      <x:c r="P106" s="47"/>
      <x:c r="Q106" s="47" t="str">
        <x:v>D05~07 재고 UI와 Backend Insight Projection 계약 준비 또는 D04-FE-INTEGRATION-001 명시적 OPEN</x:v>
      </x:c>
      <x:c r="R106" s="47" t="str">
        <x:v>다른 트랙 결과가 없으면 공동 계약 기반 Mock/Fixture로 진행하고 차단 사유를 기록</x:v>
      </x:c>
    </x:row>
    <x:row r="107" ht="72" customHeight="1">
      <x:c r="A107" s="47" t="str">
        <x:v>8일차</x:v>
      </x:c>
      <x:c r="B107" s="47" t="n">
        <x:v>2</x:v>
      </x:c>
      <x:c r="C107" s="47" t="str">
        <x:v>프론트엔드·제품</x:v>
      </x:c>
      <x:c r="D107" s="47" t="str">
        <x:v>D08-FE-02</x:v>
      </x:c>
      <x:c r="E107" s="47" t="str">
        <x:v>중복표시</x:v>
      </x:c>
      <x:c r="F107" s="47" t="str">
        <x:v>중복 이벤트 처리 결과 표시</x:v>
      </x:c>
      <x:c r="G107" s="47" t="str">
        <x:v>중복 수신 수와 실제 반영 1회를 운영 로그에서 구분해 보여준다.</x:v>
      </x:c>
      <x:c r="H107" s="47" t="str">
        <x:v>frontend/src/features/integrations/DedupeStatus.tsx</x:v>
      </x:c>
      <x:c r="I107" s="47" t="str">
        <x:v>FR-INT-006 · 03 §5~6, 05 §6, 06 §4·13, 09 Day 8, 04 RAG</x:v>
      </x:c>
      <x:c r="J107" s="47" t="str">
        <x:v>frontend/src/features/integrations/DedupeStatus.tsx</x:v>
      </x:c>
      <x:c r="K107" s="47" t="str">
        <x:v>npm --prefix frontend test -- DedupeStatus</x:v>
      </x:c>
      <x:c r="L107" s="47" t="str">
        <x:v>중복으로 재고가 더 줄지 않음</x:v>
      </x:c>
      <x:c r="M107" s="47" t="str">
        <x:v>Production 쓰기 없음</x:v>
      </x:c>
      <x:c r="N107" s="47" t="str">
        <x:v>미착수</x:v>
      </x:c>
      <x:c r="O107" s="47"/>
      <x:c r="P107" s="47"/>
      <x:c r="Q107" s="47" t="str">
        <x:v>공동 계약 v0.1과 해당 Fixture/Mock 준비</x:v>
      </x:c>
      <x:c r="R107" s="47" t="str">
        <x:v>다른 트랙 결과가 없으면 공동 계약 기반 Mock/Fixture로 진행하고 차단 사유를 기록</x:v>
      </x:c>
    </x:row>
    <x:row r="108" ht="72" customHeight="1">
      <x:c r="A108" s="47" t="str">
        <x:v>8일차</x:v>
      </x:c>
      <x:c r="B108" s="47" t="n">
        <x:v>3</x:v>
      </x:c>
      <x:c r="C108" s="47" t="str">
        <x:v>프론트엔드·제품</x:v>
      </x:c>
      <x:c r="D108" s="47" t="str">
        <x:v>D08-FE-03</x:v>
      </x:c>
      <x:c r="E108" s="47" t="str">
        <x:v>오류</x:v>
      </x:c>
      <x:c r="F108" s="47" t="str">
        <x:v>stale·mapping ambiguous 흐름</x:v>
      </x:c>
      <x:c r="G108" s="47" t="str">
        <x:v>확정 위험 대신 데이터 확인 필요 CTA와 이유를 표시한다.</x:v>
      </x:c>
      <x:c r="H108" s="47" t="str">
        <x:v>frontend/e2e/inventory-uncertain.spec.ts</x:v>
      </x:c>
      <x:c r="I108" s="47" t="str">
        <x:v>FR-INV-004 · 03 §5~6, 05 §6, 06 §4·13, 09 Day 8, 04 RAG</x:v>
      </x:c>
      <x:c r="J108" s="47" t="str">
        <x:v>frontend/e2e/inventory-uncertain.spec.ts</x:v>
      </x:c>
      <x:c r="K108" s="47" t="str">
        <x:v>npm --prefix frontend run e2e -- inventory-uncertain</x:v>
      </x:c>
      <x:c r="L108" s="47" t="str">
        <x:v>잘못된 확정 표현 0건</x:v>
      </x:c>
      <x:c r="M108" s="47" t="str">
        <x:v>Production 쓰기 없음</x:v>
      </x:c>
      <x:c r="N108" s="47" t="str">
        <x:v>미착수</x:v>
      </x:c>
      <x:c r="O108" s="47"/>
      <x:c r="P108" s="47"/>
      <x:c r="Q108" s="47" t="str">
        <x:v>공동 계약 v0.1과 해당 Fixture/Mock 준비</x:v>
      </x:c>
      <x:c r="R108" s="47" t="str">
        <x:v>다른 트랙 결과가 없으면 공동 계약 기반 Mock/Fixture로 진행하고 차단 사유를 기록</x:v>
      </x:c>
    </x:row>
    <x:row r="109" ht="72" customHeight="1">
      <x:c r="A109" s="45" t="str">
        <x:v>9일차</x:v>
      </x:c>
      <x:c r="B109" s="45" t="n">
        <x:v>1</x:v>
      </x:c>
      <x:c r="C109" s="45" t="str">
        <x:v>AI·ML</x:v>
      </x:c>
      <x:c r="D109" s="45" t="str">
        <x:v>D09-AI-01</x:v>
      </x:c>
      <x:c r="E109" s="45" t="str">
        <x:v>전처리</x:v>
      </x:c>
      <x:c r="F109" s="45" t="str">
        <x:v>질문 정규화·상품명 후보 추출</x:v>
      </x:c>
      <x:c r="G109" s="45" t="str">
        <x:v>띄어쓰기, 괄호판본, 언어, 브랜드, 확장판 표현을 보존하며 검색어를 정규화한다.</x:v>
      </x:c>
      <x:c r="H109" s="45" t="str">
        <x:v>ai/retrieval/query_preprocess.py</x:v>
      </x:c>
      <x:c r="I109" s="45" t="str">
        <x:v>RAG-02 · 04 §5.4~5, 02 예약주문, 07 §5</x:v>
      </x:c>
      <x:c r="J109" s="45" t="str">
        <x:v>ai/retrieval/query_preprocess.py</x:v>
      </x:c>
      <x:c r="K109" s="45" t="str">
        <x:v>pytest ai/tests/retrieval/test_query_preprocess.py -q</x:v>
      </x:c>
      <x:c r="L109" s="45" t="str">
        <x:v>정확 상품 토큰 손실 0건</x:v>
      </x:c>
      <x:c r="M109" s="45" t="str">
        <x:v>Production 쓰기 없음</x:v>
      </x:c>
      <x:c r="N109" s="45" t="str">
        <x:v>미착수</x:v>
      </x:c>
      <x:c r="O109" s="45"/>
      <x:c r="P109" s="45"/>
      <x:c r="Q109" s="45" t="str">
        <x:v>공동 계약 v0.1과 해당 Fixture/Mock 준비</x:v>
      </x:c>
      <x:c r="R109" s="45" t="str">
        <x:v>다른 트랙 결과가 없으면 공동 계약 기반 Mock/Fixture로 진행하고 차단 사유를 기록</x:v>
      </x:c>
    </x:row>
    <x:row r="110" ht="72" customHeight="1">
      <x:c r="A110" s="45" t="str">
        <x:v>9일차</x:v>
      </x:c>
      <x:c r="B110" s="45" t="n">
        <x:v>2</x:v>
      </x:c>
      <x:c r="C110" s="45" t="str">
        <x:v>AI·ML</x:v>
      </x:c>
      <x:c r="D110" s="45" t="str">
        <x:v>D09-AI-02</x:v>
      </x:c>
      <x:c r="E110" s="45" t="str">
        <x:v>Hybrid</x:v>
      </x:c>
      <x:c r="F110" s="45" t="str">
        <x:v>BM25+Vector 점수 결합</x:v>
      </x:c>
      <x:c r="G110" s="45" t="str">
        <x:v>RRF와 정규화 가중합 두 방법을 같은 후보 수에서 구현한다.</x:v>
      </x:c>
      <x:c r="H110" s="45" t="str">
        <x:v>ai/retrieval/hybrid.py</x:v>
      </x:c>
      <x:c r="I110" s="45" t="str">
        <x:v>RAG-02 · 04 §5.4~5, 02 예약주문, 07 §5</x:v>
      </x:c>
      <x:c r="J110" s="45" t="str">
        <x:v>ai/retrieval/hybrid.py</x:v>
      </x:c>
      <x:c r="K110" s="45" t="str">
        <x:v>make eval-retrieval METHOD=hybrid</x:v>
      </x:c>
      <x:c r="L110" s="45" t="str">
        <x:v>두 결합법 지표·latency 저장</x:v>
      </x:c>
      <x:c r="M110" s="45" t="str">
        <x:v>Production 쓰기 없음</x:v>
      </x:c>
      <x:c r="N110" s="45" t="str">
        <x:v>미착수</x:v>
      </x:c>
      <x:c r="O110" s="45"/>
      <x:c r="P110" s="45"/>
      <x:c r="Q110" s="45" t="str">
        <x:v>공동 계약 v0.1과 해당 Fixture/Mock 준비</x:v>
      </x:c>
      <x:c r="R110" s="45" t="str">
        <x:v>다른 트랙 결과가 없으면 공동 계약 기반 Mock/Fixture로 진행하고 차단 사유를 기록</x:v>
      </x:c>
    </x:row>
    <x:row r="111" ht="72" customHeight="1">
      <x:c r="A111" s="45" t="str">
        <x:v>9일차</x:v>
      </x:c>
      <x:c r="B111" s="45" t="n">
        <x:v>3</x:v>
      </x:c>
      <x:c r="C111" s="45" t="str">
        <x:v>AI·ML</x:v>
      </x:c>
      <x:c r="D111" s="45" t="str">
        <x:v>D09-AI-03</x:v>
      </x:c>
      <x:c r="E111" s="45" t="str">
        <x:v>필터</x:v>
      </x:c>
      <x:c r="F111" s="45" t="str">
        <x:v>metadata filter 순서 실험</x:v>
      </x:c>
      <x:c r="G111" s="45" t="str">
        <x:v>pre-filter와 post-filter가 recall/latency에 미치는 영향을 측정한다.</x:v>
      </x:c>
      <x:c r="H111" s="45" t="str">
        <x:v>ai/evaluation/run_filter_order_eval.py</x:v>
      </x:c>
      <x:c r="I111" s="45" t="str">
        <x:v>RAG-02 · 04 §5.4~5, 02 예약주문, 07 §5</x:v>
      </x:c>
      <x:c r="J111" s="45" t="str">
        <x:v>ai/evaluation/run_filter_order_eval.py</x:v>
      </x:c>
      <x:c r="K111" s="45" t="str">
        <x:v>make eval-retrieval-filter-order</x:v>
      </x:c>
      <x:c r="L111" s="45" t="str">
        <x:v>방법별 누락 질의와 latency</x:v>
      </x:c>
      <x:c r="M111" s="45" t="str">
        <x:v>Production 쓰기 없음</x:v>
      </x:c>
      <x:c r="N111" s="45" t="str">
        <x:v>미착수</x:v>
      </x:c>
      <x:c r="O111" s="45"/>
      <x:c r="P111" s="45"/>
      <x:c r="Q111" s="45" t="str">
        <x:v>공동 계약 v0.1과 해당 Fixture/Mock 준비</x:v>
      </x:c>
      <x:c r="R111" s="45" t="str">
        <x:v>다른 트랙 결과가 없으면 공동 계약 기반 Mock/Fixture로 진행하고 차단 사유를 기록</x:v>
      </x:c>
    </x:row>
    <x:row r="112" ht="72" customHeight="1">
      <x:c r="A112" s="45" t="str">
        <x:v>9일차</x:v>
      </x:c>
      <x:c r="B112" s="45" t="n">
        <x:v>4</x:v>
      </x:c>
      <x:c r="C112" s="45" t="str">
        <x:v>AI·ML</x:v>
      </x:c>
      <x:c r="D112" s="45" t="str">
        <x:v>D09-AI-04</x:v>
      </x:c>
      <x:c r="E112" s="45" t="str">
        <x:v>신뢰도</x:v>
      </x:c>
      <x:c r="F112" s="45" t="str">
        <x:v>Hybrid confidence 보정</x:v>
      </x:c>
      <x:c r="G112" s="45" t="str">
        <x:v>결합 score, exact match, source freshness를 이용해 confidence를 calibration set에서 맞춘다.</x:v>
      </x:c>
      <x:c r="H112" s="45" t="str">
        <x:v>ai/retrieval/calibration.py</x:v>
      </x:c>
      <x:c r="I112" s="45" t="str">
        <x:v>04 §5.6 · 04 §5.4~5, 02 예약주문, 07 §5</x:v>
      </x:c>
      <x:c r="J112" s="45" t="str">
        <x:v>ai/retrieval/calibration.py</x:v>
      </x:c>
      <x:c r="K112" s="45" t="str">
        <x:v>make eval-retrieval-calibration</x:v>
      </x:c>
      <x:c r="L112" s="45" t="str">
        <x:v>confidence bin과 실제 정답률 보고</x:v>
      </x:c>
      <x:c r="M112" s="45" t="str">
        <x:v>Production 쓰기 없음</x:v>
      </x:c>
      <x:c r="N112" s="45" t="str">
        <x:v>미착수</x:v>
      </x:c>
      <x:c r="O112" s="45"/>
      <x:c r="P112" s="45"/>
      <x:c r="Q112" s="45" t="str">
        <x:v>공동 계약 v0.1과 해당 Fixture/Mock 준비</x:v>
      </x:c>
      <x:c r="R112" s="45" t="str">
        <x:v>다른 트랙 결과가 없으면 공동 계약 기반 Mock/Fixture로 진행하고 차단 사유를 기록</x:v>
      </x:c>
    </x:row>
    <x:row r="113" ht="72" customHeight="1">
      <x:c r="A113" s="45" t="str">
        <x:v>9일차</x:v>
      </x:c>
      <x:c r="B113" s="45" t="n">
        <x:v>5</x:v>
      </x:c>
      <x:c r="C113" s="45" t="str">
        <x:v>AI·ML</x:v>
      </x:c>
      <x:c r="D113" s="45" t="str">
        <x:v>D09-AI-05</x:v>
      </x:c>
      <x:c r="E113" s="45" t="str">
        <x:v>평가</x:v>
      </x:c>
      <x:c r="F113" s="45" t="str">
        <x:v>BM25·Vector·Hybrid 중간 비교</x:v>
      </x:c>
      <x:c r="G113" s="45" t="str">
        <x:v>동일 Golden Set에서 Recall@5/10, MRR, nDCG@10, p95를 비교한다.</x:v>
      </x:c>
      <x:c r="H113" s="45" t="str">
        <x:v>artifacts/experiments/RAG-02/result.json</x:v>
      </x:c>
      <x:c r="I113" s="45" t="str">
        <x:v>09 §5.2 · 04 §5.4~5, 02 예약주문, 07 §5</x:v>
      </x:c>
      <x:c r="J113" s="45" t="str">
        <x:v>artifacts/experiments/RAG-02/result.json</x:v>
      </x:c>
      <x:c r="K113" s="45" t="str">
        <x:v>make eval-report EXP=RAG-02</x:v>
      </x:c>
      <x:c r="L113" s="45" t="str">
        <x:v>Hybrid 채택 여부와 실패 질의</x:v>
      </x:c>
      <x:c r="M113" s="45" t="str">
        <x:v>Production 쓰기 없음</x:v>
      </x:c>
      <x:c r="N113" s="45" t="str">
        <x:v>미착수</x:v>
      </x:c>
      <x:c r="O113" s="45"/>
      <x:c r="P113" s="45"/>
      <x:c r="Q113" s="45" t="str">
        <x:v>공동 계약 v0.1과 해당 Fixture/Mock 준비</x:v>
      </x:c>
      <x:c r="R113" s="45" t="str">
        <x:v>다른 트랙 결과가 없으면 공동 계약 기반 Mock/Fixture로 진행하고 차단 사유를 기록</x:v>
      </x:c>
    </x:row>
    <x:row r="114" ht="72" customHeight="1">
      <x:c r="A114" s="46" t="str">
        <x:v>9일차</x:v>
      </x:c>
      <x:c r="B114" s="46" t="n">
        <x:v>1</x:v>
      </x:c>
      <x:c r="C114" s="46" t="str">
        <x:v>백엔드·데이터</x:v>
      </x:c>
      <x:c r="D114" s="46" t="str">
        <x:v>D09-BE-01</x:v>
      </x:c>
      <x:c r="E114" s="46" t="str">
        <x:v>예약</x:v>
      </x:c>
      <x:c r="F114" s="46" t="str">
        <x:v>예약주문 식별·집계</x:v>
      </x:c>
      <x:c r="G114" s="46" t="str">
        <x:v>주문유형/상품설정/판매상태 근거로 예약을 식별하고 SKU별 required_qty를 집계한다.</x:v>
      </x:c>
      <x:c r="H114" s="46" t="str">
        <x:v>backend/app/services/reservation_service.py</x:v>
      </x:c>
      <x:c r="I114" s="46" t="str">
        <x:v>FR-RES-001 · 04 §5.4~5, 02 예약주문, 07 §5</x:v>
      </x:c>
      <x:c r="J114" s="46" t="str">
        <x:v>backend/app/services/reservation_service.py</x:v>
      </x:c>
      <x:c r="K114" s="46" t="str">
        <x:v>pytest backend/tests/reservation/test_identification.py -q</x:v>
      </x:c>
      <x:c r="L114" s="46" t="str">
        <x:v>표준/예약/불명확 주문 구분</x:v>
      </x:c>
      <x:c r="M114" s="46" t="str">
        <x:v>Production 쓰기 없음</x:v>
      </x:c>
      <x:c r="N114" s="46" t="str">
        <x:v>미착수</x:v>
      </x:c>
      <x:c r="O114" s="46"/>
      <x:c r="P114" s="46"/>
      <x:c r="Q114" s="46" t="str">
        <x:v>공동 계약 v0.1과 해당 Fixture/Mock 준비</x:v>
      </x:c>
      <x:c r="R114" s="46" t="str">
        <x:v>다른 트랙 결과가 없으면 공동 계약 기반 Mock/Fixture로 진행하고 차단 사유를 기록</x:v>
      </x:c>
    </x:row>
    <x:row r="115" ht="72" customHeight="1">
      <x:c r="A115" s="46" t="str">
        <x:v>9일차</x:v>
      </x:c>
      <x:c r="B115" s="46" t="n">
        <x:v>2</x:v>
      </x:c>
      <x:c r="C115" s="46" t="str">
        <x:v>백엔드·데이터</x:v>
      </x:c>
      <x:c r="D115" s="46" t="str">
        <x:v>D09-BE-02</x:v>
      </x:c>
      <x:c r="E115" s="46" t="str">
        <x:v>부족</x:v>
      </x:c>
      <x:c r="F115" s="46" t="str">
        <x:v>secured·incoming·shortage 계산</x:v>
      </x:c>
      <x:c r="G115" s="46" t="str">
        <x:v>현재 확보재고와 확정 입고예정만 반영하고 tentative 입고는 별도 표시한다.</x:v>
      </x:c>
      <x:c r="H115" s="46" t="str">
        <x:v>backend/app/services/reservation_shortage.py</x:v>
      </x:c>
      <x:c r="I115" s="46" t="str">
        <x:v>FR-RES-001 · 04 §5.4~5, 02 예약주문, 07 §5</x:v>
      </x:c>
      <x:c r="J115" s="46" t="str">
        <x:v>backend/app/services/reservation_shortage.py</x:v>
      </x:c>
      <x:c r="K115" s="46" t="str">
        <x:v>pytest backend/tests/reservation/test_shortage.py -q</x:v>
      </x:c>
      <x:c r="L115" s="46" t="str">
        <x:v>fixture 수량·근거 일치</x:v>
      </x:c>
      <x:c r="M115" s="46" t="str">
        <x:v>Production 쓰기 없음</x:v>
      </x:c>
      <x:c r="N115" s="46" t="str">
        <x:v>미착수</x:v>
      </x:c>
      <x:c r="O115" s="46"/>
      <x:c r="P115" s="46"/>
      <x:c r="Q115" s="46" t="str">
        <x:v>공동 계약 v0.1과 해당 Fixture/Mock 준비</x:v>
      </x:c>
      <x:c r="R115" s="46" t="str">
        <x:v>다른 트랙 결과가 없으면 공동 계약 기반 Mock/Fixture로 진행하고 차단 사유를 기록</x:v>
      </x:c>
    </x:row>
    <x:row r="116" ht="72" customHeight="1">
      <x:c r="A116" s="46" t="str">
        <x:v>9일차</x:v>
      </x:c>
      <x:c r="B116" s="46" t="n">
        <x:v>3</x:v>
      </x:c>
      <x:c r="C116" s="46" t="str">
        <x:v>백엔드·데이터</x:v>
      </x:c>
      <x:c r="D116" s="46" t="str">
        <x:v>D09-BE-03</x:v>
      </x:c>
      <x:c r="E116" s="46" t="str">
        <x:v>상태</x:v>
      </x:c>
      <x:c r="F116" s="46" t="str">
        <x:v>예약→발주→입고→출고 전이</x:v>
      </x:c>
      <x:c r="G116" s="46" t="str">
        <x:v>허용 전이와 actor/evidence/timestamp를 강제한다.</x:v>
      </x:c>
      <x:c r="H116" s="46" t="str">
        <x:v>backend/app/domain/reservation_state.py</x:v>
      </x:c>
      <x:c r="I116" s="46" t="str">
        <x:v>FR-RES-003 · 04 §5.4~5, 02 예약주문, 07 §5</x:v>
      </x:c>
      <x:c r="J116" s="46" t="str">
        <x:v>backend/app/domain/reservation_state.py</x:v>
      </x:c>
      <x:c r="K116" s="46" t="str">
        <x:v>pytest backend/tests/reservation/test_state_machine.py -q</x:v>
      </x:c>
      <x:c r="L116" s="46" t="str">
        <x:v>잘못된 전이 실패·감사기록</x:v>
      </x:c>
      <x:c r="M116" s="46" t="str">
        <x:v>Production 쓰기 없음</x:v>
      </x:c>
      <x:c r="N116" s="46" t="str">
        <x:v>미착수</x:v>
      </x:c>
      <x:c r="O116" s="46"/>
      <x:c r="P116" s="46"/>
      <x:c r="Q116" s="46" t="str">
        <x:v>공동 계약 v0.1과 해당 Fixture/Mock 준비</x:v>
      </x:c>
      <x:c r="R116" s="46" t="str">
        <x:v>다른 트랙 결과가 없으면 공동 계약 기반 Mock/Fixture로 진행하고 차단 사유를 기록</x:v>
      </x:c>
    </x:row>
    <x:row r="117" ht="72" customHeight="1">
      <x:c r="A117" s="46" t="str">
        <x:v>9일차</x:v>
      </x:c>
      <x:c r="B117" s="46" t="n">
        <x:v>4</x:v>
      </x:c>
      <x:c r="C117" s="46" t="str">
        <x:v>백엔드·데이터</x:v>
      </x:c>
      <x:c r="D117" s="46" t="str">
        <x:v>D09-BE-04</x:v>
      </x:c>
      <x:c r="E117" s="46" t="str">
        <x:v>Task</x:v>
      </x:c>
      <x:c r="F117" s="46" t="str">
        <x:v>예약 부족 Task 중복방지·aging</x:v>
      </x:c>
      <x:c r="G117" s="46" t="str">
        <x:v>동일 원인 Task를 합치고 미처리 시간에 따라 priority를 올린다.</x:v>
      </x:c>
      <x:c r="H117" s="46" t="str">
        <x:v>backend/app/services/reservation_tasks.py</x:v>
      </x:c>
      <x:c r="I117" s="46" t="str">
        <x:v>FR-RES-002 · 04 §5.4~5, 02 예약주문, 07 §5</x:v>
      </x:c>
      <x:c r="J117" s="46" t="str">
        <x:v>backend/app/services/reservation_tasks.py</x:v>
      </x:c>
      <x:c r="K117" s="46" t="str">
        <x:v>pytest backend/tests/reservation/test_task_aging.py -q</x:v>
      </x:c>
      <x:c r="L117" s="46" t="str">
        <x:v>중복 Task 0·aging 순위 상승</x:v>
      </x:c>
      <x:c r="M117" s="46" t="str">
        <x:v>Production 쓰기 없음</x:v>
      </x:c>
      <x:c r="N117" s="46" t="str">
        <x:v>미착수</x:v>
      </x:c>
      <x:c r="O117" s="46"/>
      <x:c r="P117" s="46"/>
      <x:c r="Q117" s="46" t="str">
        <x:v>공동 계약 v0.1과 해당 Fixture/Mock 준비</x:v>
      </x:c>
      <x:c r="R117" s="46" t="str">
        <x:v>다른 트랙 결과가 없으면 공동 계약 기반 Mock/Fixture로 진행하고 차단 사유를 기록</x:v>
      </x:c>
    </x:row>
    <x:row r="118" ht="72" customHeight="1">
      <x:c r="A118" s="46" t="str">
        <x:v>9일차</x:v>
      </x:c>
      <x:c r="B118" s="46" t="n">
        <x:v>5</x:v>
      </x:c>
      <x:c r="C118" s="46" t="str">
        <x:v>백엔드·데이터</x:v>
      </x:c>
      <x:c r="D118" s="46" t="str">
        <x:v>D09-BE-05</x:v>
      </x:c>
      <x:c r="E118" s="46" t="str">
        <x:v>API</x:v>
      </x:c>
      <x:c r="F118" s="46" t="str">
        <x:v>예약 위험 조회 API</x:v>
      </x:c>
      <x:c r="G118" s="46" t="str">
        <x:v>상품별 필요·확보·입고예정·부족·영향 주문·예상배송 위험을 반환한다.</x:v>
      </x:c>
      <x:c r="H118" s="46" t="str">
        <x:v>backend/app/routes/reservations.py</x:v>
      </x:c>
      <x:c r="I118" s="46" t="str">
        <x:v>FR-RES-004 · 04 §5.4~5, 02 예약주문, 07 §5</x:v>
      </x:c>
      <x:c r="J118" s="46" t="str">
        <x:v>backend/app/routes/reservations.py</x:v>
      </x:c>
      <x:c r="K118" s="46" t="str">
        <x:v>pytest backend/tests/api/test_reservations.py -q</x:v>
      </x:c>
      <x:c r="L118" s="46" t="str">
        <x:v>PII 없이 영향 주문 수 제공</x:v>
      </x:c>
      <x:c r="M118" s="46" t="str">
        <x:v>Production 쓰기 없음</x:v>
      </x:c>
      <x:c r="N118" s="46" t="str">
        <x:v>미착수</x:v>
      </x:c>
      <x:c r="O118" s="46"/>
      <x:c r="P118" s="46"/>
      <x:c r="Q118" s="46" t="str">
        <x:v>공동 계약 v0.1과 해당 Fixture/Mock 준비</x:v>
      </x:c>
      <x:c r="R118" s="46" t="str">
        <x:v>다른 트랙 결과가 없으면 공동 계약 기반 Mock/Fixture로 진행하고 차단 사유를 기록</x:v>
      </x:c>
    </x:row>
    <x:row r="119" ht="72" customHeight="1">
      <x:c r="A119" s="47" t="str">
        <x:v>9일차</x:v>
      </x:c>
      <x:c r="B119" s="47" t="n">
        <x:v>1</x:v>
      </x:c>
      <x:c r="C119" s="47" t="str">
        <x:v>프론트엔드·제품</x:v>
      </x:c>
      <x:c r="D119" s="47" t="str">
        <x:v>D09-FE-01</x:v>
      </x:c>
      <x:c r="E119" s="47" t="str">
        <x:v>예약</x:v>
      </x:c>
      <x:c r="F119" s="47" t="str">
        <x:v>예약주문 위험 목록</x:v>
      </x:c>
      <x:c r="G119" s="47" t="str">
        <x:v>상품별 required/secured/incoming/shortage/aging/priority를 표시한다.</x:v>
      </x:c>
      <x:c r="H119" s="47" t="str">
        <x:v>frontend/src/app/pages/OrdersPage.tsx · frontend/src/features/reservations/ReservationList.tsx</x:v>
      </x:c>
      <x:c r="I119" s="47" t="str">
        <x:v>07 §6 · 04 §5.4~5, 02 예약주문, 07 §5</x:v>
      </x:c>
      <x:c r="J119" s="47" t="str">
        <x:v>frontend/src/app/orders/reservations/page.tsx</x:v>
      </x:c>
      <x:c r="K119" s="47" t="str">
        <x:v>npm --prefix frontend test -- ReservationPage</x:v>
      </x:c>
      <x:c r="L119" s="47" t="str">
        <x:v>부족·충분·불확실 상태 구분</x:v>
      </x:c>
      <x:c r="M119" s="47" t="str">
        <x:v>Production 쓰기 없음</x:v>
      </x:c>
      <x:c r="N119" s="47" t="str">
        <x:v>미착수</x:v>
      </x:c>
      <x:c r="O119" s="47"/>
      <x:c r="P119" s="47"/>
      <x:c r="Q119" s="47" t="str">
        <x:v>공동 계약 v0.1과 해당 Fixture/Mock 준비</x:v>
      </x:c>
      <x:c r="R119" s="47" t="str">
        <x:v>다른 트랙 결과가 없으면 공동 계약 기반 Mock/Fixture로 진행하고 차단 사유를 기록</x:v>
      </x:c>
    </x:row>
    <x:row r="120" ht="72" customHeight="1">
      <x:c r="A120" s="47" t="str">
        <x:v>9일차</x:v>
      </x:c>
      <x:c r="B120" s="47" t="n">
        <x:v>2</x:v>
      </x:c>
      <x:c r="C120" s="47" t="str">
        <x:v>프론트엔드·제품</x:v>
      </x:c>
      <x:c r="D120" s="47" t="str">
        <x:v>D09-FE-02</x:v>
      </x:c>
      <x:c r="E120" s="47" t="str">
        <x:v>상세</x:v>
      </x:c>
      <x:c r="F120" s="47" t="str">
        <x:v>예약 상태 흐름과 근거</x:v>
      </x:c>
      <x:c r="G120" s="47" t="str">
        <x:v>예약→발주→입고→출고 timeline과 source event를 표시한다.</x:v>
      </x:c>
      <x:c r="H120" s="47" t="str">
        <x:v>frontend/src/features/reservations/ReservationTimeline.tsx</x:v>
      </x:c>
      <x:c r="I120" s="47" t="str">
        <x:v>FR-RES-003 · 04 §5.4~5, 02 예약주문, 07 §5</x:v>
      </x:c>
      <x:c r="J120" s="47" t="str">
        <x:v>frontend/src/features/reservations/ReservationTimeline.tsx</x:v>
      </x:c>
      <x:c r="K120" s="47" t="str">
        <x:v>npm --prefix frontend test -- ReservationTimeline</x:v>
      </x:c>
      <x:c r="L120" s="47" t="str">
        <x:v>허용 전이와 시각 표시</x:v>
      </x:c>
      <x:c r="M120" s="47" t="str">
        <x:v>Production 쓰기 없음</x:v>
      </x:c>
      <x:c r="N120" s="47" t="str">
        <x:v>미착수</x:v>
      </x:c>
      <x:c r="O120" s="47"/>
      <x:c r="P120" s="47"/>
      <x:c r="Q120" s="47" t="str">
        <x:v>공동 계약 v0.1과 해당 Fixture/Mock 준비</x:v>
      </x:c>
      <x:c r="R120" s="47" t="str">
        <x:v>다른 트랙 결과가 없으면 공동 계약 기반 Mock/Fixture로 진행하고 차단 사유를 기록</x:v>
      </x:c>
    </x:row>
    <x:row r="121" ht="72" customHeight="1">
      <x:c r="A121" s="47" t="str">
        <x:v>9일차</x:v>
      </x:c>
      <x:c r="B121" s="47" t="n">
        <x:v>3</x:v>
      </x:c>
      <x:c r="C121" s="47" t="str">
        <x:v>프론트엔드·제품</x:v>
      </x:c>
      <x:c r="D121" s="47" t="str">
        <x:v>D09-FE-03</x:v>
      </x:c>
      <x:c r="E121" s="47" t="str">
        <x:v>안전</x:v>
      </x:c>
      <x:c r="F121" s="47" t="str">
        <x:v>Task 제안·실행 분리</x:v>
      </x:c>
      <x:c r="G121" s="47" t="str">
        <x:v>업무 생성안은 검토·수정·거절만 제공하고 외부 발주를 실행하지 않는다.</x:v>
      </x:c>
      <x:c r="H121" s="47" t="str">
        <x:v>frontend/src/features/tasks/TaskProposal.tsx</x:v>
      </x:c>
      <x:c r="I121" s="47" t="str">
        <x:v>06 §6 · 04 §5.4~5, 02 예약주문, 07 §5</x:v>
      </x:c>
      <x:c r="J121" s="47" t="str">
        <x:v>frontend/src/features/tasks/TaskProposal.tsx</x:v>
      </x:c>
      <x:c r="K121" s="47" t="str">
        <x:v>npm --prefix frontend test -- TaskProposal</x:v>
      </x:c>
      <x:c r="L121" s="47" t="str">
        <x:v>발주 API 호출 0건</x:v>
      </x:c>
      <x:c r="M121" s="47" t="str">
        <x:v>Production 쓰기 없음</x:v>
      </x:c>
      <x:c r="N121" s="47" t="str">
        <x:v>미착수</x:v>
      </x:c>
      <x:c r="O121" s="47"/>
      <x:c r="P121" s="47"/>
      <x:c r="Q121" s="47" t="str">
        <x:v>공동 계약 v0.1과 해당 Fixture/Mock 준비</x:v>
      </x:c>
      <x:c r="R121" s="47" t="str">
        <x:v>다른 트랙 결과가 없으면 공동 계약 기반 Mock/Fixture로 진행하고 차단 사유를 기록</x:v>
      </x:c>
    </x:row>
    <x:row r="122" ht="72" customHeight="1">
      <x:c r="A122" s="45" t="str">
        <x:v>10일차</x:v>
      </x:c>
      <x:c r="B122" s="45" t="n">
        <x:v>1</x:v>
      </x:c>
      <x:c r="C122" s="45" t="str">
        <x:v>AI·ML</x:v>
      </x:c>
      <x:c r="D122" s="45" t="str">
        <x:v>D10-AI-01</x:v>
      </x:c>
      <x:c r="E122" s="45" t="str">
        <x:v>재작성</x:v>
      </x:c>
      <x:c r="F122" s="45" t="str">
        <x:v>상품명 보존형 query rewrite</x:v>
      </x:c>
      <x:c r="G122" s="45" t="str">
        <x:v>대화형 질문을 독립 검색문으로 바꾸되 상품명·수량·판본·언어를 변경하지 않게 검증한다.</x:v>
      </x:c>
      <x:c r="H122" s="45" t="str">
        <x:v>ai/retrieval/query_rewrite.py</x:v>
      </x:c>
      <x:c r="I122" s="45" t="str">
        <x:v>RAG-03 · 04 §5.4~5, 02 출시일정, 07 §8</x:v>
      </x:c>
      <x:c r="J122" s="45" t="str">
        <x:v>ai/retrieval/query_rewrite.py</x:v>
      </x:c>
      <x:c r="K122" s="45" t="str">
        <x:v>pytest ai/tests/retrieval/test_query_rewrite.py -q</x:v>
      </x:c>
      <x:c r="L122" s="45" t="str">
        <x:v>핵심 entity 보존율 기록</x:v>
      </x:c>
      <x:c r="M122" s="45" t="str">
        <x:v>Production 쓰기 없음</x:v>
      </x:c>
      <x:c r="N122" s="45" t="str">
        <x:v>미착수</x:v>
      </x:c>
      <x:c r="O122" s="45"/>
      <x:c r="P122" s="45"/>
      <x:c r="Q122" s="45" t="str">
        <x:v>공동 계약 v0.1과 해당 Fixture/Mock 준비</x:v>
      </x:c>
      <x:c r="R122" s="45" t="str">
        <x:v>다른 트랙 결과가 없으면 공동 계약 기반 Mock/Fixture로 진행하고 차단 사유를 기록</x:v>
      </x:c>
    </x:row>
    <x:row r="123" ht="72" customHeight="1">
      <x:c r="A123" s="45" t="str">
        <x:v>10일차</x:v>
      </x:c>
      <x:c r="B123" s="45" t="n">
        <x:v>2</x:v>
      </x:c>
      <x:c r="C123" s="45" t="str">
        <x:v>AI·ML</x:v>
      </x:c>
      <x:c r="D123" s="45" t="str">
        <x:v>D10-AI-02</x:v>
      </x:c>
      <x:c r="E123" s="45" t="str">
        <x:v>다중검색</x:v>
      </x:c>
      <x:c r="F123" s="45" t="str">
        <x:v>Multi-query 후보 생성·중복합치기</x:v>
      </x:c>
      <x:c r="G123" s="45" t="str">
        <x:v>관계/정책 질문에 한해 최대 3개 검색문을 만들고 동일 문서 결과를 합친다.</x:v>
      </x:c>
      <x:c r="H123" s="45" t="str">
        <x:v>ai/retrieval/multi_query.py</x:v>
      </x:c>
      <x:c r="I123" s="45" t="str">
        <x:v>RAG-03 · 04 §5.4~5, 02 출시일정, 07 §8</x:v>
      </x:c>
      <x:c r="J123" s="45" t="str">
        <x:v>ai/retrieval/multi_query.py</x:v>
      </x:c>
      <x:c r="K123" s="45" t="str">
        <x:v>make eval-retrieval METHOD=multi_query</x:v>
      </x:c>
      <x:c r="L123" s="45" t="str">
        <x:v>호출수 상한·recall 변화</x:v>
      </x:c>
      <x:c r="M123" s="45" t="str">
        <x:v>Production 쓰기 없음</x:v>
      </x:c>
      <x:c r="N123" s="45" t="str">
        <x:v>미착수</x:v>
      </x:c>
      <x:c r="O123" s="45"/>
      <x:c r="P123" s="45"/>
      <x:c r="Q123" s="45" t="str">
        <x:v>공동 계약 v0.1과 해당 Fixture/Mock 준비</x:v>
      </x:c>
      <x:c r="R123" s="45" t="str">
        <x:v>다른 트랙 결과가 없으면 공동 계약 기반 Mock/Fixture로 진행하고 차단 사유를 기록</x:v>
      </x:c>
    </x:row>
    <x:row r="124" ht="72" customHeight="1">
      <x:c r="A124" s="45" t="str">
        <x:v>10일차</x:v>
      </x:c>
      <x:c r="B124" s="45" t="n">
        <x:v>3</x:v>
      </x:c>
      <x:c r="C124" s="45" t="str">
        <x:v>AI·ML</x:v>
      </x:c>
      <x:c r="D124" s="45" t="str">
        <x:v>D10-AI-03</x:v>
      </x:c>
      <x:c r="E124" s="45" t="str">
        <x:v>재정렬</x:v>
      </x:c>
      <x:c r="F124" s="45" t="str">
        <x:v>Cross-encoder reranker 연결</x:v>
      </x:c>
      <x:c r="G124" s="45" t="str">
        <x:v>Hybrid top-30을 rerank하여 top-5/10을 만들고 timeout fallback을 둔다.</x:v>
      </x:c>
      <x:c r="H124" s="45" t="str">
        <x:v>ai/retrieval/reranker.py</x:v>
      </x:c>
      <x:c r="I124" s="45" t="str">
        <x:v>RAG-03 · 04 §5.4~5, 02 출시일정, 07 §8</x:v>
      </x:c>
      <x:c r="J124" s="45" t="str">
        <x:v>ai/retrieval/reranker.py</x:v>
      </x:c>
      <x:c r="K124" s="45" t="str">
        <x:v>make eval-retrieval METHOD=hybrid_reranker</x:v>
      </x:c>
      <x:c r="L124" s="45" t="str">
        <x:v>Recall/MRR/nDCG·p95·timeout 기록</x:v>
      </x:c>
      <x:c r="M124" s="45" t="str">
        <x:v>Production 쓰기 없음</x:v>
      </x:c>
      <x:c r="N124" s="45" t="str">
        <x:v>미착수</x:v>
      </x:c>
      <x:c r="O124" s="45"/>
      <x:c r="P124" s="45"/>
      <x:c r="Q124" s="45" t="str">
        <x:v>공동 계약 v0.1과 해당 Fixture/Mock 준비</x:v>
      </x:c>
      <x:c r="R124" s="45" t="str">
        <x:v>다른 트랙 결과가 없으면 공동 계약 기반 Mock/Fixture로 진행하고 차단 사유를 기록</x:v>
      </x:c>
    </x:row>
    <x:row r="125" ht="72" customHeight="1">
      <x:c r="A125" s="45" t="str">
        <x:v>10일차</x:v>
      </x:c>
      <x:c r="B125" s="45" t="n">
        <x:v>4</x:v>
      </x:c>
      <x:c r="C125" s="45" t="str">
        <x:v>AI·ML</x:v>
      </x:c>
      <x:c r="D125" s="45" t="str">
        <x:v>D10-AI-04</x:v>
      </x:c>
      <x:c r="E125" s="45" t="str">
        <x:v>압축</x:v>
      </x:c>
      <x:c r="F125" s="45" t="str">
        <x:v>중복제거·context compression</x:v>
      </x:c>
      <x:c r="G125" s="45" t="str">
        <x:v>인용 가능 문장을 보존하며 중복 문단과 무관 필드를 줄인다.</x:v>
      </x:c>
      <x:c r="H125" s="45" t="str">
        <x:v>ai/retrieval/context_compression.py</x:v>
      </x:c>
      <x:c r="I125" s="45" t="str">
        <x:v>04 §5.4 · 04 §5.4~5, 02 출시일정, 07 §8</x:v>
      </x:c>
      <x:c r="J125" s="45" t="str">
        <x:v>ai/retrieval/context_compression.py</x:v>
      </x:c>
      <x:c r="K125" s="45" t="str">
        <x:v>pytest ai/tests/retrieval/test_context_compression.py -q</x:v>
      </x:c>
      <x:c r="L125" s="45" t="str">
        <x:v>근거 필드 보존·토큰 감소율</x:v>
      </x:c>
      <x:c r="M125" s="45" t="str">
        <x:v>Production 쓰기 없음</x:v>
      </x:c>
      <x:c r="N125" s="45" t="str">
        <x:v>미착수</x:v>
      </x:c>
      <x:c r="O125" s="45"/>
      <x:c r="P125" s="45"/>
      <x:c r="Q125" s="45" t="str">
        <x:v>공동 계약 v0.1과 해당 Fixture/Mock 준비</x:v>
      </x:c>
      <x:c r="R125" s="45" t="str">
        <x:v>다른 트랙 결과가 없으면 공동 계약 기반 Mock/Fixture로 진행하고 차단 사유를 기록</x:v>
      </x:c>
    </x:row>
    <x:row r="126" ht="72" customHeight="1">
      <x:c r="A126" s="45" t="str">
        <x:v>10일차</x:v>
      </x:c>
      <x:c r="B126" s="45" t="n">
        <x:v>5</x:v>
      </x:c>
      <x:c r="C126" s="45" t="str">
        <x:v>AI·ML</x:v>
      </x:c>
      <x:c r="D126" s="45" t="str">
        <x:v>D10-AI-05</x:v>
      </x:c>
      <x:c r="E126" s="45" t="str">
        <x:v>최적화</x:v>
      </x:c>
      <x:c r="F126" s="45" t="str">
        <x:v>Top-K 3/5/10/20 비교</x:v>
      </x:c>
      <x:c r="G126" s="45" t="str">
        <x:v>정확도·근거누락·토큰·latency를 비교해 질문유형별 K를 정한다.</x:v>
      </x:c>
      <x:c r="H126" s="45" t="str">
        <x:v>artifacts/experiments/RAG-03/result.json</x:v>
      </x:c>
      <x:c r="I126" s="45" t="str">
        <x:v>09 §5.2 · 04 §5.4~5, 02 출시일정, 07 §8</x:v>
      </x:c>
      <x:c r="J126" s="45" t="str">
        <x:v>artifacts/experiments/RAG-03/result.json</x:v>
      </x:c>
      <x:c r="K126" s="45" t="str">
        <x:v>make eval-report EXP=RAG-03</x:v>
      </x:c>
      <x:c r="L126" s="45" t="str">
        <x:v>채택 K와 reranker 사용 조건</x:v>
      </x:c>
      <x:c r="M126" s="45" t="str">
        <x:v>Production 쓰기 없음</x:v>
      </x:c>
      <x:c r="N126" s="45" t="str">
        <x:v>미착수</x:v>
      </x:c>
      <x:c r="O126" s="45"/>
      <x:c r="P126" s="45"/>
      <x:c r="Q126" s="45" t="str">
        <x:v>공동 계약 v0.1과 해당 Fixture/Mock 준비</x:v>
      </x:c>
      <x:c r="R126" s="45" t="str">
        <x:v>다른 트랙 결과가 없으면 공동 계약 기반 Mock/Fixture로 진행하고 차단 사유를 기록</x:v>
      </x:c>
    </x:row>
    <x:row r="127" ht="72" customHeight="1">
      <x:c r="A127" s="46" t="str">
        <x:v>10일차</x:v>
      </x:c>
      <x:c r="B127" s="46" t="n">
        <x:v>1</x:v>
      </x:c>
      <x:c r="C127" s="46" t="str">
        <x:v>백엔드·데이터</x:v>
      </x:c>
      <x:c r="D127" s="46" t="str">
        <x:v>D10-BE-01</x:v>
      </x:c>
      <x:c r="E127" s="46" t="str">
        <x:v>템플릿</x:v>
      </x:c>
      <x:c r="F127" s="46" t="str">
        <x:v>출시 Flow A/B Task 템플릿</x:v>
      </x:c>
      <x:c r="G127" s="46" t="str">
        <x:v>입고·검수·상품페이지·Cafe24·POS·홍보·판매시작과 lead time을 버전 관리한다.</x:v>
      </x:c>
      <x:c r="H127" s="46" t="str">
        <x:v>backend/app/domain/schedule_templates.py</x:v>
      </x:c>
      <x:c r="I127" s="46" t="str">
        <x:v>FR-SCH-001 · 04 §5.4~5, 02 출시일정, 07 §8</x:v>
      </x:c>
      <x:c r="J127" s="46" t="str">
        <x:v>backend/app/domain/schedule_templates.py</x:v>
      </x:c>
      <x:c r="K127" s="46" t="str">
        <x:v>pytest backend/tests/schedule/test_templates.py -q</x:v>
      </x:c>
      <x:c r="L127" s="46" t="str">
        <x:v>Flow A/B deadline 역산 일치</x:v>
      </x:c>
      <x:c r="M127" s="46" t="str">
        <x:v>Production 쓰기 없음</x:v>
      </x:c>
      <x:c r="N127" s="46" t="str">
        <x:v>미착수</x:v>
      </x:c>
      <x:c r="O127" s="46"/>
      <x:c r="P127" s="46"/>
      <x:c r="Q127" s="46" t="str">
        <x:v>공동 계약 v0.1과 해당 Fixture/Mock 준비</x:v>
      </x:c>
      <x:c r="R127" s="46" t="str">
        <x:v>다른 트랙 결과가 없으면 공동 계약 기반 Mock/Fixture로 진행하고 차단 사유를 기록</x:v>
      </x:c>
    </x:row>
    <x:row r="128" ht="72" customHeight="1">
      <x:c r="A128" s="46" t="str">
        <x:v>10일차</x:v>
      </x:c>
      <x:c r="B128" s="46" t="n">
        <x:v>2</x:v>
      </x:c>
      <x:c r="C128" s="46" t="str">
        <x:v>백엔드·데이터</x:v>
      </x:c>
      <x:c r="D128" s="46" t="str">
        <x:v>D10-BE-02</x:v>
      </x:c>
      <x:c r="E128" s="46" t="str">
        <x:v>의존성</x:v>
      </x:c>
      <x:c r="F128" s="46" t="str">
        <x:v>Task dependency·cycle 검증</x:v>
      </x:c>
      <x:c r="G128" s="46" t="str">
        <x:v>선행/후행/lag를 저장하고 순환 의존성을 거부한다.</x:v>
      </x:c>
      <x:c r="H128" s="46" t="str">
        <x:v>backend/app/services/task_dependencies.py</x:v>
      </x:c>
      <x:c r="I128" s="46" t="str">
        <x:v>FR-SCH-002 · 04 §5.4~5, 02 출시일정, 07 §8</x:v>
      </x:c>
      <x:c r="J128" s="46" t="str">
        <x:v>backend/app/services/task_dependencies.py</x:v>
      </x:c>
      <x:c r="K128" s="46" t="str">
        <x:v>pytest backend/tests/schedule/test_dependencies.py -q</x:v>
      </x:c>
      <x:c r="L128" s="46" t="str">
        <x:v>cycle fixture 실패</x:v>
      </x:c>
      <x:c r="M128" s="46" t="str">
        <x:v>Production 쓰기 없음</x:v>
      </x:c>
      <x:c r="N128" s="46" t="str">
        <x:v>미착수</x:v>
      </x:c>
      <x:c r="O128" s="46"/>
      <x:c r="P128" s="46"/>
      <x:c r="Q128" s="46" t="str">
        <x:v>공동 계약 v0.1과 해당 Fixture/Mock 준비</x:v>
      </x:c>
      <x:c r="R128" s="46" t="str">
        <x:v>다른 트랙 결과가 없으면 공동 계약 기반 Mock/Fixture로 진행하고 차단 사유를 기록</x:v>
      </x:c>
    </x:row>
    <x:row r="129" ht="72" customHeight="1">
      <x:c r="A129" s="46" t="str">
        <x:v>10일차</x:v>
      </x:c>
      <x:c r="B129" s="46" t="n">
        <x:v>3</x:v>
      </x:c>
      <x:c r="C129" s="46" t="str">
        <x:v>백엔드·데이터</x:v>
      </x:c>
      <x:c r="D129" s="46" t="str">
        <x:v>D10-BE-03</x:v>
      </x:c>
      <x:c r="E129" s="46" t="str">
        <x:v>지연</x:v>
      </x:c>
      <x:c r="F129" s="46" t="str">
        <x:v>입고 지연 영향 탐색</x:v>
      </x:c>
      <x:c r="G129" s="46" t="str">
        <x:v>incoming expected_at 변경 시 영향 Task, 주문, 출시일을 계산한다.</x:v>
      </x:c>
      <x:c r="H129" s="46" t="str">
        <x:v>backend/app/services/delay_impact.py</x:v>
      </x:c>
      <x:c r="I129" s="46" t="str">
        <x:v>FR-SCH-003 · 04 §5.4~5, 02 출시일정, 07 §8</x:v>
      </x:c>
      <x:c r="J129" s="46" t="str">
        <x:v>backend/app/services/delay_impact.py</x:v>
      </x:c>
      <x:c r="K129" s="46" t="str">
        <x:v>pytest backend/tests/schedule/test_delay_impact.py -q</x:v>
      </x:c>
      <x:c r="L129" s="46" t="str">
        <x:v>영향 경로와 source ID 반환</x:v>
      </x:c>
      <x:c r="M129" s="46" t="str">
        <x:v>Production 쓰기 없음</x:v>
      </x:c>
      <x:c r="N129" s="46" t="str">
        <x:v>미착수</x:v>
      </x:c>
      <x:c r="O129" s="46"/>
      <x:c r="P129" s="46"/>
      <x:c r="Q129" s="46" t="str">
        <x:v>공동 계약 v0.1과 해당 Fixture/Mock 준비</x:v>
      </x:c>
      <x:c r="R129" s="46" t="str">
        <x:v>다른 트랙 결과가 없으면 공동 계약 기반 Mock/Fixture로 진행하고 차단 사유를 기록</x:v>
      </x:c>
    </x:row>
    <x:row r="130" ht="72" customHeight="1">
      <x:c r="A130" s="46" t="str">
        <x:v>10일차</x:v>
      </x:c>
      <x:c r="B130" s="46" t="n">
        <x:v>4</x:v>
      </x:c>
      <x:c r="C130" s="46" t="str">
        <x:v>백엔드·데이터</x:v>
      </x:c>
      <x:c r="D130" s="46" t="str">
        <x:v>D10-BE-04</x:v>
      </x:c>
      <x:c r="E130" s="46" t="str">
        <x:v>재계획</x:v>
      </x:c>
      <x:c r="F130" s="46" t="str">
        <x:v>기존·제안 일정 diff 생성</x:v>
      </x:c>
      <x:c r="G130" s="46" t="str">
        <x:v>사용자 승인 전 저장된 일정은 바꾸지 않고 before/after/reason/confidence를 반환한다.</x:v>
      </x:c>
      <x:c r="H130" s="46" t="str">
        <x:v>backend/app/services/replanning.py</x:v>
      </x:c>
      <x:c r="I130" s="46" t="str">
        <x:v>FR-SCH-003 · 04 §5.4~5, 02 출시일정, 07 §8</x:v>
      </x:c>
      <x:c r="J130" s="46" t="str">
        <x:v>backend/app/services/replanning.py</x:v>
      </x:c>
      <x:c r="K130" s="46" t="str">
        <x:v>pytest backend/tests/schedule/test_replanning.py -q</x:v>
      </x:c>
      <x:c r="L130" s="46" t="str">
        <x:v>원본 일정 불변·제안 diff 존재</x:v>
      </x:c>
      <x:c r="M130" s="46" t="str">
        <x:v>Production 쓰기 없음</x:v>
      </x:c>
      <x:c r="N130" s="46" t="str">
        <x:v>미착수</x:v>
      </x:c>
      <x:c r="O130" s="46"/>
      <x:c r="P130" s="46"/>
      <x:c r="Q130" s="46" t="str">
        <x:v>공동 계약 v0.1과 해당 Fixture/Mock 준비</x:v>
      </x:c>
      <x:c r="R130" s="46" t="str">
        <x:v>다른 트랙 결과가 없으면 공동 계약 기반 Mock/Fixture로 진행하고 차단 사유를 기록</x:v>
      </x:c>
    </x:row>
    <x:row r="131" ht="72" customHeight="1">
      <x:c r="A131" s="46" t="str">
        <x:v>10일차</x:v>
      </x:c>
      <x:c r="B131" s="46" t="n">
        <x:v>5</x:v>
      </x:c>
      <x:c r="C131" s="46" t="str">
        <x:v>백엔드·데이터</x:v>
      </x:c>
      <x:c r="D131" s="46" t="str">
        <x:v>D10-BE-05</x:v>
      </x:c>
      <x:c r="E131" s="46" t="str">
        <x:v>API</x:v>
      </x:c>
      <x:c r="F131" s="46" t="str">
        <x:v>출시·일정·Task 조회 API</x:v>
      </x:c>
      <x:c r="G131" s="46" t="str">
        <x:v>launch events, calendar, dependency, impact, proposal을 read/draft endpoint로 제공한다.</x:v>
      </x:c>
      <x:c r="H131" s="46" t="str">
        <x:v>backend/app/routes/schedule.py</x:v>
      </x:c>
      <x:c r="I131" s="46" t="str">
        <x:v>05 §4 · 04 §5.4~5, 02 출시일정, 07 §8</x:v>
      </x:c>
      <x:c r="J131" s="46" t="str">
        <x:v>backend/app/routes/schedule.py</x:v>
      </x:c>
      <x:c r="K131" s="46" t="str">
        <x:v>pytest backend/tests/api/test_schedule.py -q</x:v>
      </x:c>
      <x:c r="L131" s="46" t="str">
        <x:v>실제 외부 일정 write endpoint 없음</x:v>
      </x:c>
      <x:c r="M131" s="46" t="str">
        <x:v>Production 쓰기 없음</x:v>
      </x:c>
      <x:c r="N131" s="46" t="str">
        <x:v>미착수</x:v>
      </x:c>
      <x:c r="O131" s="46"/>
      <x:c r="P131" s="46"/>
      <x:c r="Q131" s="46" t="str">
        <x:v>공동 계약 v0.1과 해당 Fixture/Mock 준비</x:v>
      </x:c>
      <x:c r="R131" s="46" t="str">
        <x:v>다른 트랙 결과가 없으면 공동 계약 기반 Mock/Fixture로 진행하고 차단 사유를 기록</x:v>
      </x:c>
    </x:row>
    <x:row r="132" ht="72" customHeight="1">
      <x:c r="A132" s="47" t="str">
        <x:v>10일차</x:v>
      </x:c>
      <x:c r="B132" s="47" t="n">
        <x:v>1</x:v>
      </x:c>
      <x:c r="C132" s="47" t="str">
        <x:v>프론트엔드·제품</x:v>
      </x:c>
      <x:c r="D132" s="47" t="str">
        <x:v>D10-FE-01</x:v>
      </x:c>
      <x:c r="E132" s="47" t="str">
        <x:v>일정</x:v>
      </x:c>
      <x:c r="F132" s="47" t="str">
        <x:v>출시·입고 일정 보드</x:v>
      </x:c>
      <x:c r="G132" s="47" t="str">
        <x:v>Flow A/B Task와 dependency, deadline, status를 목록·타임라인으로 표시한다.</x:v>
      </x:c>
      <x:c r="H132" s="47" t="str">
        <x:v>frontend/src/app/pages/SchedulePage.tsx</x:v>
      </x:c>
      <x:c r="I132" s="47" t="str">
        <x:v>07 §8 · 04 §5.4~5, 02 출시일정, 07 §8</x:v>
      </x:c>
      <x:c r="J132" s="47" t="str">
        <x:v>frontend/src/app/schedule/page.tsx</x:v>
      </x:c>
      <x:c r="K132" s="47" t="str">
        <x:v>npm --prefix frontend test -- SchedulePage</x:v>
      </x:c>
      <x:c r="L132" s="47" t="str">
        <x:v>fixture 일정·dependency 렌더링</x:v>
      </x:c>
      <x:c r="M132" s="47" t="str">
        <x:v>Production 쓰기 없음</x:v>
      </x:c>
      <x:c r="N132" s="47" t="str">
        <x:v>미착수</x:v>
      </x:c>
      <x:c r="O132" s="47"/>
      <x:c r="P132" s="47"/>
      <x:c r="Q132" s="47" t="str">
        <x:v>공동 계약 v0.1과 해당 Fixture/Mock 준비</x:v>
      </x:c>
      <x:c r="R132" s="47" t="str">
        <x:v>다른 트랙 결과가 없으면 공동 계약 기반 Mock/Fixture로 진행하고 차단 사유를 기록</x:v>
      </x:c>
    </x:row>
    <x:row r="133" ht="72" customHeight="1">
      <x:c r="A133" s="47" t="str">
        <x:v>10일차</x:v>
      </x:c>
      <x:c r="B133" s="47" t="n">
        <x:v>2</x:v>
      </x:c>
      <x:c r="C133" s="47" t="str">
        <x:v>프론트엔드·제품</x:v>
      </x:c>
      <x:c r="D133" s="47" t="str">
        <x:v>D10-FE-02</x:v>
      </x:c>
      <x:c r="E133" s="47" t="str">
        <x:v>영향</x:v>
      </x:c>
      <x:c r="F133" s="47" t="str">
        <x:v>지연 영향 패널</x:v>
      </x:c>
      <x:c r="G133" s="47" t="str">
        <x:v>변경된 입고일, 영향받는 후속 Task·예약주문·출시일을 근거와 함께 표시한다.</x:v>
      </x:c>
      <x:c r="H133" s="47" t="str">
        <x:v>frontend/src/features/schedule/ImpactPanel.tsx</x:v>
      </x:c>
      <x:c r="I133" s="47" t="str">
        <x:v>FR-SCH-003 · 04 §5.4~5, 02 출시일정, 07 §8</x:v>
      </x:c>
      <x:c r="J133" s="47" t="str">
        <x:v>frontend/src/features/schedule/ImpactPanel.tsx</x:v>
      </x:c>
      <x:c r="K133" s="47" t="str">
        <x:v>npm --prefix frontend test -- ImpactPanel</x:v>
      </x:c>
      <x:c r="L133" s="47" t="str">
        <x:v>영향 0/다수/불확실 상태</x:v>
      </x:c>
      <x:c r="M133" s="47" t="str">
        <x:v>Production 쓰기 없음</x:v>
      </x:c>
      <x:c r="N133" s="47" t="str">
        <x:v>미착수</x:v>
      </x:c>
      <x:c r="O133" s="47"/>
      <x:c r="P133" s="47"/>
      <x:c r="Q133" s="47" t="str">
        <x:v>공동 계약 v0.1과 해당 Fixture/Mock 준비</x:v>
      </x:c>
      <x:c r="R133" s="47" t="str">
        <x:v>다른 트랙 결과가 없으면 공동 계약 기반 Mock/Fixture로 진행하고 차단 사유를 기록</x:v>
      </x:c>
    </x:row>
    <x:row r="134" ht="72" customHeight="1">
      <x:c r="A134" s="47" t="str">
        <x:v>10일차</x:v>
      </x:c>
      <x:c r="B134" s="47" t="n">
        <x:v>3</x:v>
      </x:c>
      <x:c r="C134" s="47" t="str">
        <x:v>프론트엔드·제품</x:v>
      </x:c>
      <x:c r="D134" s="47" t="str">
        <x:v>D10-FE-03</x:v>
      </x:c>
      <x:c r="E134" s="47" t="str">
        <x:v>제안</x:v>
      </x:c>
      <x:c r="F134" s="47" t="str">
        <x:v>재계획 before/after 검토</x:v>
      </x:c>
      <x:c r="G134" s="47" t="str">
        <x:v>기존 일정과 제안을 비교하고 Demo 내부 승인·수정·거절만 제공한다.</x:v>
      </x:c>
      <x:c r="H134" s="47" t="str">
        <x:v>frontend/src/features/schedule/ReplanReview.tsx</x:v>
      </x:c>
      <x:c r="I134" s="47" t="str">
        <x:v>07 §8 · 04 §5.4~5, 02 출시일정, 07 §8</x:v>
      </x:c>
      <x:c r="J134" s="47" t="str">
        <x:v>frontend/src/features/schedule/ReplanReview.tsx</x:v>
      </x:c>
      <x:c r="K134" s="47" t="str">
        <x:v>npm --prefix frontend test -- ReplanReview</x:v>
      </x:c>
      <x:c r="L134" s="47" t="str">
        <x:v>외부 시스템 자동 변경 0건</x:v>
      </x:c>
      <x:c r="M134" s="47" t="str">
        <x:v>Production 쓰기 없음</x:v>
      </x:c>
      <x:c r="N134" s="47" t="str">
        <x:v>미착수</x:v>
      </x:c>
      <x:c r="O134" s="47"/>
      <x:c r="P134" s="47"/>
      <x:c r="Q134" s="47" t="str">
        <x:v>공동 계약 v0.1과 해당 Fixture/Mock 준비</x:v>
      </x:c>
      <x:c r="R134" s="47" t="str">
        <x:v>다른 트랙 결과가 없으면 공동 계약 기반 Mock/Fixture로 진행하고 차단 사유를 기록</x:v>
      </x:c>
    </x:row>
    <x:row r="135" ht="72" customHeight="1">
      <x:c r="A135" s="45" t="str">
        <x:v>11일차</x:v>
      </x:c>
      <x:c r="B135" s="45" t="n">
        <x:v>1</x:v>
      </x:c>
      <x:c r="C135" s="45" t="str">
        <x:v>AI·ML</x:v>
      </x:c>
      <x:c r="D135" s="45" t="str">
        <x:v>D11-AI-01</x:v>
      </x:c>
      <x:c r="E135" s="45" t="str">
        <x:v>데이터</x:v>
      </x:c>
      <x:c r="F135" s="45" t="str">
        <x:v>Instruction dataset v1 생성</x:v>
      </x:c>
      <x:c r="G135" s="45" t="str">
        <x:v>문의→intent/entities/risk JSON 형식으로 개인정보 제거·taxonomy 검증·source 유형을 기록한다.</x:v>
      </x:c>
      <x:c r="H135" s="45" t="str">
        <x:v>ai/training/datasets/build_instructions.py</x:v>
      </x:c>
      <x:c r="I135" s="45" t="str">
        <x:v>FT-01 · 04 §7.2 · 04 §7, 04 §10~11, 09 §5.3</x:v>
      </x:c>
      <x:c r="J135" s="45" t="str">
        <x:v>ai/training/datasets/build_instructions.py</x:v>
      </x:c>
      <x:c r="K135" s="45" t="str">
        <x:v>python -m ai.training.datasets.build_instructions --fixture</x:v>
      </x:c>
      <x:c r="L135" s="45" t="str">
        <x:v>manifest·split·class support 생성</x:v>
      </x:c>
      <x:c r="M135" s="45" t="str">
        <x:v>Production 쓰기 없음</x:v>
      </x:c>
      <x:c r="N135" s="45" t="str">
        <x:v>미착수</x:v>
      </x:c>
      <x:c r="O135" s="45"/>
      <x:c r="P135" s="45"/>
      <x:c r="Q135" s="45" t="str">
        <x:v>공동 계약 v0.1과 해당 Fixture/Mock 준비</x:v>
      </x:c>
      <x:c r="R135" s="45" t="str">
        <x:v>다른 트랙 결과가 없으면 공동 계약 기반 Mock/Fixture로 진행하고 차단 사유를 기록</x:v>
      </x:c>
    </x:row>
    <x:row r="136" ht="72" customHeight="1">
      <x:c r="A136" s="45" t="str">
        <x:v>11일차</x:v>
      </x:c>
      <x:c r="B136" s="45" t="n">
        <x:v>2</x:v>
      </x:c>
      <x:c r="C136" s="45" t="str">
        <x:v>AI·ML</x:v>
      </x:c>
      <x:c r="D136" s="45" t="str">
        <x:v>D11-AI-02</x:v>
      </x:c>
      <x:c r="E136" s="45" t="str">
        <x:v>증강</x:v>
      </x:c>
      <x:c r="F136" s="45" t="str">
        <x:v>소수 클래스 보정 후보 작성</x:v>
      </x:c>
      <x:c r="G136" s="45" t="str">
        <x:v>가중치, oversampling, 제한 synthetic augmentation을 각각 설정으로 분리한다.</x:v>
      </x:c>
      <x:c r="H136" s="45" t="str">
        <x:v>ai/training/configs/imbalance.yaml</x:v>
      </x:c>
      <x:c r="I136" s="45" t="str">
        <x:v>04 §3.4 · 04 §7, 04 §10~11, 09 §5.3</x:v>
      </x:c>
      <x:c r="J136" s="45" t="str">
        <x:v>ai/training/configs/imbalance.yaml</x:v>
      </x:c>
      <x:c r="K136" s="45" t="str">
        <x:v>pytest ai/tests/training/test_augmentation_guard.py -q</x:v>
      </x:c>
      <x:c r="L136" s="45" t="str">
        <x:v>test set·개인정보·실제 문장 복제 없음</x:v>
      </x:c>
      <x:c r="M136" s="45" t="str">
        <x:v>Production 쓰기 없음</x:v>
      </x:c>
      <x:c r="N136" s="45" t="str">
        <x:v>미착수</x:v>
      </x:c>
      <x:c r="O136" s="45"/>
      <x:c r="P136" s="45"/>
      <x:c r="Q136" s="45" t="str">
        <x:v>공동 계약 v0.1과 해당 Fixture/Mock 준비</x:v>
      </x:c>
      <x:c r="R136" s="45" t="str">
        <x:v>다른 트랙 결과가 없으면 공동 계약 기반 Mock/Fixture로 진행하고 차단 사유를 기록</x:v>
      </x:c>
    </x:row>
    <x:row r="137" ht="72" customHeight="1">
      <x:c r="A137" s="45" t="str">
        <x:v>11일차</x:v>
      </x:c>
      <x:c r="B137" s="45" t="n">
        <x:v>3</x:v>
      </x:c>
      <x:c r="C137" s="45" t="str">
        <x:v>AI·ML</x:v>
      </x:c>
      <x:c r="D137" s="45" t="str">
        <x:v>D11-AI-03</x:v>
      </x:c>
      <x:c r="E137" s="45" t="str">
        <x:v>기준선</x:v>
      </x:c>
      <x:c r="F137" s="45" t="str">
        <x:v>Base sLLM 평가</x:v>
      </x:c>
      <x:c r="G137" s="45" t="str">
        <x:v>미세조정 전 모델을 동일 prompt/output schema/test set으로 평가한다.</x:v>
      </x:c>
      <x:c r="H137" s="45" t="str">
        <x:v>artifacts/experiments/FT-01/base_result.json</x:v>
      </x:c>
      <x:c r="I137" s="45" t="str">
        <x:v>FT-01 · 04 §7, 04 §10~11, 09 §5.3</x:v>
      </x:c>
      <x:c r="J137" s="45" t="str">
        <x:v>artifacts/experiments/FT-01/base_result.json</x:v>
      </x:c>
      <x:c r="K137" s="45" t="str">
        <x:v>make eval-model MODEL=base</x:v>
      </x:c>
      <x:c r="L137" s="45" t="str">
        <x:v>Intent/Entity/JSON/field/latency/cost 기록</x:v>
      </x:c>
      <x:c r="M137" s="45" t="str">
        <x:v>Production 쓰기 없음</x:v>
      </x:c>
      <x:c r="N137" s="45" t="str">
        <x:v>미착수</x:v>
      </x:c>
      <x:c r="O137" s="45"/>
      <x:c r="P137" s="45"/>
      <x:c r="Q137" s="45" t="str">
        <x:v>공동 계약 v0.1과 해당 Fixture/Mock 준비</x:v>
      </x:c>
      <x:c r="R137" s="45" t="str">
        <x:v>다른 트랙 결과가 없으면 공동 계약 기반 Mock/Fixture로 진행하고 차단 사유를 기록</x:v>
      </x:c>
    </x:row>
    <x:row r="138" ht="72" customHeight="1">
      <x:c r="A138" s="45" t="str">
        <x:v>11일차</x:v>
      </x:c>
      <x:c r="B138" s="45" t="n">
        <x:v>4</x:v>
      </x:c>
      <x:c r="C138" s="45" t="str">
        <x:v>AI·ML</x:v>
      </x:c>
      <x:c r="D138" s="45" t="str">
        <x:v>D11-AI-04</x:v>
      </x:c>
      <x:c r="E138" s="45" t="str">
        <x:v>기준선</x:v>
      </x:c>
      <x:c r="F138" s="45" t="str">
        <x:v>대형 API LLM 기준선 평가</x:v>
      </x:c>
      <x:c r="G138" s="45" t="str">
        <x:v>같은 test set에서 품질 상한과 비용·지연 기준을 측정한다.</x:v>
      </x:c>
      <x:c r="H138" s="45" t="str">
        <x:v>artifacts/experiments/FT-01/api_result.json</x:v>
      </x:c>
      <x:c r="I138" s="45" t="str">
        <x:v>FT-01 · 04 §7, 04 §10~11, 09 §5.3</x:v>
      </x:c>
      <x:c r="J138" s="45" t="str">
        <x:v>artifacts/experiments/FT-01/api_result.json</x:v>
      </x:c>
      <x:c r="K138" s="45" t="str">
        <x:v>make eval-model MODEL=large_api</x:v>
      </x:c>
      <x:c r="L138" s="45" t="str">
        <x:v>Base와 동일 지표 기록</x:v>
      </x:c>
      <x:c r="M138" s="45" t="str">
        <x:v>Production 쓰기 없음</x:v>
      </x:c>
      <x:c r="N138" s="45" t="str">
        <x:v>미착수</x:v>
      </x:c>
      <x:c r="O138" s="45"/>
      <x:c r="P138" s="45"/>
      <x:c r="Q138" s="45" t="str">
        <x:v>공동 계약 v0.1과 해당 Fixture/Mock 준비</x:v>
      </x:c>
      <x:c r="R138" s="45" t="str">
        <x:v>다른 트랙 결과가 없으면 공동 계약 기반 Mock/Fixture로 진행하고 차단 사유를 기록</x:v>
      </x:c>
    </x:row>
    <x:row r="139" ht="72" customHeight="1">
      <x:c r="A139" s="45" t="str">
        <x:v>11일차</x:v>
      </x:c>
      <x:c r="B139" s="45" t="n">
        <x:v>5</x:v>
      </x:c>
      <x:c r="C139" s="45" t="str">
        <x:v>AI·ML</x:v>
      </x:c>
      <x:c r="D139" s="45" t="str">
        <x:v>D11-AI-05</x:v>
      </x:c>
      <x:c r="E139" s="45" t="str">
        <x:v>학습설정</x:v>
      </x:c>
      <x:c r="F139" s="45" t="str">
        <x:v>LoRA rank/alpha/lr/epoch 후보표</x:v>
      </x:c>
      <x:c r="G139" s="45" t="str">
        <x:v>rank 8/16/32, alpha, lr, epoch/step, batch/grad accumulation과 중단 기준을 선언한다.</x:v>
      </x:c>
      <x:c r="H139" s="45" t="str">
        <x:v>ai/training/configs/qlora_grid.yaml</x:v>
      </x:c>
      <x:c r="I139" s="45" t="str">
        <x:v>04 §7.3 · 04 §7, 04 §10~11, 09 §5.3</x:v>
      </x:c>
      <x:c r="J139" s="45" t="str">
        <x:v>ai/training/configs/qlora_grid.yaml</x:v>
      </x:c>
      <x:c r="K139" s="45" t="str">
        <x:v>python -m ai.training.validate_config ai/training/configs/qlora_grid.yaml</x:v>
      </x:c>
      <x:c r="L139" s="45" t="str">
        <x:v>VRAM·시간 예산과 overfit stop rule 포함</x:v>
      </x:c>
      <x:c r="M139" s="45" t="str">
        <x:v>Production 쓰기 없음</x:v>
      </x:c>
      <x:c r="N139" s="45" t="str">
        <x:v>미착수</x:v>
      </x:c>
      <x:c r="O139" s="45"/>
      <x:c r="P139" s="45"/>
      <x:c r="Q139" s="45" t="str">
        <x:v>공동 계약 v0.1과 해당 Fixture/Mock 준비</x:v>
      </x:c>
      <x:c r="R139" s="45" t="str">
        <x:v>다른 트랙 결과가 없으면 공동 계약 기반 Mock/Fixture로 진행하고 차단 사유를 기록</x:v>
      </x:c>
    </x:row>
    <x:row r="140" ht="72" customHeight="1">
      <x:c r="A140" s="46" t="str">
        <x:v>11일차</x:v>
      </x:c>
      <x:c r="B140" s="46" t="n">
        <x:v>1</x:v>
      </x:c>
      <x:c r="C140" s="46" t="str">
        <x:v>백엔드·데이터</x:v>
      </x:c>
      <x:c r="D140" s="46" t="str">
        <x:v>D11-BE-01</x:v>
      </x:c>
      <x:c r="E140" s="46" t="str">
        <x:v>점수</x:v>
      </x:c>
      <x:c r="F140" s="46" t="str">
        <x:v>규칙 기반 priority score 구현</x:v>
      </x:c>
      <x:c r="G140" s="46" t="str">
        <x:v>deadline, risk, business impact, aging을 정규화하고 가중치와 기여도를 반환한다.</x:v>
      </x:c>
      <x:c r="H140" s="46" t="str">
        <x:v>backend/app/services/task_priority.py</x:v>
      </x:c>
      <x:c r="I140" s="46" t="str">
        <x:v>FR-SCH-004 · 04 §7, 04 §10~11, 09 §5.3</x:v>
      </x:c>
      <x:c r="J140" s="46" t="str">
        <x:v>backend/app/services/task_priority.py</x:v>
      </x:c>
      <x:c r="K140" s="46" t="str">
        <x:v>pytest backend/tests/tasks/test_priority_score.py -q</x:v>
      </x:c>
      <x:c r="L140" s="46" t="str">
        <x:v>동점·누락·극단값 fixture 통과</x:v>
      </x:c>
      <x:c r="M140" s="46" t="str">
        <x:v>Production 쓰기 없음</x:v>
      </x:c>
      <x:c r="N140" s="46" t="str">
        <x:v>미착수</x:v>
      </x:c>
      <x:c r="O140" s="46"/>
      <x:c r="P140" s="46"/>
      <x:c r="Q140" s="46" t="str">
        <x:v>공동 계약 v0.1과 해당 Fixture/Mock 준비</x:v>
      </x:c>
      <x:c r="R140" s="46" t="str">
        <x:v>다른 트랙 결과가 없으면 공동 계약 기반 Mock/Fixture로 진행하고 차단 사유를 기록</x:v>
      </x:c>
    </x:row>
    <x:row r="141" ht="72" customHeight="1">
      <x:c r="A141" s="46" t="str">
        <x:v>11일차</x:v>
      </x:c>
      <x:c r="B141" s="46" t="n">
        <x:v>2</x:v>
      </x:c>
      <x:c r="C141" s="46" t="str">
        <x:v>백엔드·데이터</x:v>
      </x:c>
      <x:c r="D141" s="46" t="str">
        <x:v>D11-BE-02</x:v>
      </x:c>
      <x:c r="E141" s="46" t="str">
        <x:v>중복</x:v>
      </x:c>
      <x:c r="F141" s="46" t="str">
        <x:v>원인 기반 Task dedupe</x:v>
      </x:c>
      <x:c r="G141" s="46" t="str">
        <x:v>같은 SKU·위험유형·기간의 제안을 묶고 source evidence를 누적한다.</x:v>
      </x:c>
      <x:c r="H141" s="46" t="str">
        <x:v>backend/app/services/task_dedup.py</x:v>
      </x:c>
      <x:c r="I141" s="46" t="str">
        <x:v>FR-RES-002 · 04 §7, 04 §10~11, 09 §5.3</x:v>
      </x:c>
      <x:c r="J141" s="46" t="str">
        <x:v>backend/app/services/task_dedup.py</x:v>
      </x:c>
      <x:c r="K141" s="46" t="str">
        <x:v>pytest backend/tests/tasks/test_task_dedup.py -q</x:v>
      </x:c>
      <x:c r="L141" s="46" t="str">
        <x:v>동일 원인 중복 Task 0개</x:v>
      </x:c>
      <x:c r="M141" s="46" t="str">
        <x:v>Production 쓰기 없음</x:v>
      </x:c>
      <x:c r="N141" s="46" t="str">
        <x:v>미착수</x:v>
      </x:c>
      <x:c r="O141" s="46"/>
      <x:c r="P141" s="46"/>
      <x:c r="Q141" s="46" t="str">
        <x:v>공동 계약 v0.1과 해당 Fixture/Mock 준비</x:v>
      </x:c>
      <x:c r="R141" s="46" t="str">
        <x:v>다른 트랙 결과가 없으면 공동 계약 기반 Mock/Fixture로 진행하고 차단 사유를 기록</x:v>
      </x:c>
    </x:row>
    <x:row r="142" ht="72" customHeight="1">
      <x:c r="A142" s="46" t="str">
        <x:v>11일차</x:v>
      </x:c>
      <x:c r="B142" s="46" t="n">
        <x:v>3</x:v>
      </x:c>
      <x:c r="C142" s="46" t="str">
        <x:v>백엔드·데이터</x:v>
      </x:c>
      <x:c r="D142" s="46" t="str">
        <x:v>D11-BE-03</x:v>
      </x:c>
      <x:c r="E142" s="46" t="str">
        <x:v>설명</x:v>
      </x:c>
      <x:c r="F142" s="46" t="str">
        <x:v>우선순위 기여도 API</x:v>
      </x:c>
      <x:c r="G142" s="46" t="str">
        <x:v>최종 점수뿐 아니라 각 feature 값·가중치·rule version을 반환한다.</x:v>
      </x:c>
      <x:c r="H142" s="46" t="str">
        <x:v>backend/app/routes/tasks.py</x:v>
      </x:c>
      <x:c r="I142" s="46" t="str">
        <x:v>FR-SCH-004 · 04 §7, 04 §10~11, 09 §5.3</x:v>
      </x:c>
      <x:c r="J142" s="46" t="str">
        <x:v>backend/app/routes/tasks.py</x:v>
      </x:c>
      <x:c r="K142" s="46" t="str">
        <x:v>pytest backend/tests/api/test_tasks.py -q</x:v>
      </x:c>
      <x:c r="L142" s="46" t="str">
        <x:v>상위 Task 이유를 재계산 가능</x:v>
      </x:c>
      <x:c r="M142" s="46" t="str">
        <x:v>Production 쓰기 없음</x:v>
      </x:c>
      <x:c r="N142" s="46" t="str">
        <x:v>미착수</x:v>
      </x:c>
      <x:c r="O142" s="46"/>
      <x:c r="P142" s="46"/>
      <x:c r="Q142" s="46" t="str">
        <x:v>공동 계약 v0.1과 해당 Fixture/Mock 준비</x:v>
      </x:c>
      <x:c r="R142" s="46" t="str">
        <x:v>다른 트랙 결과가 없으면 공동 계약 기반 Mock/Fixture로 진행하고 차단 사유를 기록</x:v>
      </x:c>
    </x:row>
    <x:row r="143" ht="72" customHeight="1">
      <x:c r="A143" s="46" t="str">
        <x:v>11일차</x:v>
      </x:c>
      <x:c r="B143" s="46" t="n">
        <x:v>4</x:v>
      </x:c>
      <x:c r="C143" s="46" t="str">
        <x:v>백엔드·데이터</x:v>
      </x:c>
      <x:c r="D143" s="46" t="str">
        <x:v>D11-BE-04</x:v>
      </x:c>
      <x:c r="E143" s="46" t="str">
        <x:v>피드백</x:v>
      </x:c>
      <x:c r="F143" s="46" t="str">
        <x:v>사용자 수정·거절 피드백 저장</x:v>
      </x:c>
      <x:c r="G143" s="46" t="str">
        <x:v>AI/규칙 제안과 사용자 결과를 before/after/reason으로 저장한다.</x:v>
      </x:c>
      <x:c r="H143" s="46" t="str">
        <x:v>backend/app/models/feedback.py</x:v>
      </x:c>
      <x:c r="I143" s="46" t="str">
        <x:v>FR-APR-001 · 04 §7, 04 §10~11, 09 §5.3</x:v>
      </x:c>
      <x:c r="J143" s="46" t="str">
        <x:v>backend/app/models/feedback.py</x:v>
      </x:c>
      <x:c r="K143" s="46" t="str">
        <x:v>pytest backend/tests/tasks/test_feedback.py -q</x:v>
      </x:c>
      <x:c r="L143" s="46" t="str">
        <x:v>감사 이력 변경 불가</x:v>
      </x:c>
      <x:c r="M143" s="46" t="str">
        <x:v>Production 쓰기 없음</x:v>
      </x:c>
      <x:c r="N143" s="46" t="str">
        <x:v>미착수</x:v>
      </x:c>
      <x:c r="O143" s="46"/>
      <x:c r="P143" s="46"/>
      <x:c r="Q143" s="46" t="str">
        <x:v>공동 계약 v0.1과 해당 Fixture/Mock 준비</x:v>
      </x:c>
      <x:c r="R143" s="46" t="str">
        <x:v>다른 트랙 결과가 없으면 공동 계약 기반 Mock/Fixture로 진행하고 차단 사유를 기록</x:v>
      </x:c>
    </x:row>
    <x:row r="144" ht="72" customHeight="1">
      <x:c r="A144" s="46" t="str">
        <x:v>11일차</x:v>
      </x:c>
      <x:c r="B144" s="46" t="n">
        <x:v>5</x:v>
      </x:c>
      <x:c r="C144" s="46" t="str">
        <x:v>백엔드·데이터</x:v>
      </x:c>
      <x:c r="D144" s="46" t="str">
        <x:v>D11-BE-05</x:v>
      </x:c>
      <x:c r="E144" s="46" t="str">
        <x:v>회귀</x:v>
      </x:c>
      <x:c r="F144" s="46" t="str">
        <x:v>P0 재고·예약·일정 회귀 묶음</x:v>
      </x:c>
      <x:c r="G144" s="46" t="str">
        <x:v>세 도메인 unit/contract tests를 하나의 명령으로 실행한다.</x:v>
      </x:c>
      <x:c r="H144" s="46" t="str">
        <x:v>backend/tests/regression/test_p0_suite.py</x:v>
      </x:c>
      <x:c r="I144" s="46" t="str">
        <x:v>09 §4 · 04 §7, 04 §10~11, 09 §5.3</x:v>
      </x:c>
      <x:c r="J144" s="46" t="str">
        <x:v>backend/tests/regression/test_p0_suite.py</x:v>
      </x:c>
      <x:c r="K144" s="46" t="str">
        <x:v>make test-p0</x:v>
      </x:c>
      <x:c r="L144" s="46" t="str">
        <x:v>critical path 실패 0건</x:v>
      </x:c>
      <x:c r="M144" s="46" t="str">
        <x:v>Production 쓰기 없음</x:v>
      </x:c>
      <x:c r="N144" s="46" t="str">
        <x:v>미착수</x:v>
      </x:c>
      <x:c r="O144" s="46"/>
      <x:c r="P144" s="46"/>
      <x:c r="Q144" s="46" t="str">
        <x:v>공동 계약 v0.1과 해당 Fixture/Mock 준비</x:v>
      </x:c>
      <x:c r="R144" s="46" t="str">
        <x:v>다른 트랙 결과가 없으면 공동 계약 기반 Mock/Fixture로 진행하고 차단 사유를 기록</x:v>
      </x:c>
    </x:row>
    <x:row r="145" ht="72" customHeight="1">
      <x:c r="A145" s="47" t="str">
        <x:v>11일차</x:v>
      </x:c>
      <x:c r="B145" s="47" t="n">
        <x:v>1</x:v>
      </x:c>
      <x:c r="C145" s="47" t="str">
        <x:v>프론트엔드·제품</x:v>
      </x:c>
      <x:c r="D145" s="47" t="str">
        <x:v>D11-FE-01</x:v>
      </x:c>
      <x:c r="E145" s="47" t="str">
        <x:v>할일</x:v>
      </x:c>
      <x:c r="F145" s="47" t="str">
        <x:v>오늘 할 일 우선순위 목록</x:v>
      </x:c>
      <x:c r="G145" s="47" t="str">
        <x:v>deadline/risk/impact/aging 점수로 정렬하고 각 기여도를 펼쳐본다.</x:v>
      </x:c>
      <x:c r="H145" s="47" t="str">
        <x:v>frontend/src/app/pages/DashboardPage.tsx · frontend/src/features/tasks/TaskList.tsx</x:v>
      </x:c>
      <x:c r="I145" s="47" t="str">
        <x:v>07 §4·8 · 04 §7, 04 §10~11, 09 §5.3</x:v>
      </x:c>
      <x:c r="J145" s="47" t="str">
        <x:v>frontend/src/app/tasks/page.tsx</x:v>
      </x:c>
      <x:c r="K145" s="47" t="str">
        <x:v>npm --prefix frontend test -- TasksPage</x:v>
      </x:c>
      <x:c r="L145" s="47" t="str">
        <x:v>정렬 결과가 backend fixture와 일치</x:v>
      </x:c>
      <x:c r="M145" s="47" t="str">
        <x:v>Production 쓰기 없음</x:v>
      </x:c>
      <x:c r="N145" s="47" t="str">
        <x:v>미착수</x:v>
      </x:c>
      <x:c r="O145" s="47"/>
      <x:c r="P145" s="47"/>
      <x:c r="Q145" s="47" t="str">
        <x:v>공동 계약 v0.1과 해당 Fixture/Mock 준비</x:v>
      </x:c>
      <x:c r="R145" s="47" t="str">
        <x:v>다른 트랙 결과가 없으면 공동 계약 기반 Mock/Fixture로 진행하고 차단 사유를 기록</x:v>
      </x:c>
    </x:row>
    <x:row r="146" ht="72" customHeight="1">
      <x:c r="A146" s="47" t="str">
        <x:v>11일차</x:v>
      </x:c>
      <x:c r="B146" s="47" t="n">
        <x:v>2</x:v>
      </x:c>
      <x:c r="C146" s="47" t="str">
        <x:v>프론트엔드·제품</x:v>
      </x:c>
      <x:c r="D146" s="47" t="str">
        <x:v>D11-FE-02</x:v>
      </x:c>
      <x:c r="E146" s="47" t="str">
        <x:v>피드백</x:v>
      </x:c>
      <x:c r="F146" s="47" t="str">
        <x:v>제안 수정·거절 이유 입력</x:v>
      </x:c>
      <x:c r="G146" s="47" t="str">
        <x:v>Demo 내부 Task에만 상태를 반영하고 외부 시스템 실행으로 오해하지 않게 표시한다.</x:v>
      </x:c>
      <x:c r="H146" s="47" t="str">
        <x:v>frontend/src/features/tasks/TaskReview.tsx</x:v>
      </x:c>
      <x:c r="I146" s="47" t="str">
        <x:v>FR-APR-001 · 04 §7, 04 §10~11, 09 §5.3</x:v>
      </x:c>
      <x:c r="J146" s="47" t="str">
        <x:v>frontend/src/features/tasks/TaskReview.tsx</x:v>
      </x:c>
      <x:c r="K146" s="47" t="str">
        <x:v>npm --prefix frontend test -- TaskReview</x:v>
      </x:c>
      <x:c r="L146" s="47" t="str">
        <x:v>actor/before/after/reason 전송</x:v>
      </x:c>
      <x:c r="M146" s="47" t="str">
        <x:v>Production 쓰기 없음</x:v>
      </x:c>
      <x:c r="N146" s="47" t="str">
        <x:v>미착수</x:v>
      </x:c>
      <x:c r="O146" s="47"/>
      <x:c r="P146" s="47"/>
      <x:c r="Q146" s="47" t="str">
        <x:v>공동 계약 v0.1과 해당 Fixture/Mock 준비</x:v>
      </x:c>
      <x:c r="R146" s="47" t="str">
        <x:v>다른 트랙 결과가 없으면 공동 계약 기반 Mock/Fixture로 진행하고 차단 사유를 기록</x:v>
      </x:c>
    </x:row>
    <x:row r="147" ht="72" customHeight="1">
      <x:c r="A147" s="47" t="str">
        <x:v>11일차</x:v>
      </x:c>
      <x:c r="B147" s="47" t="n">
        <x:v>3</x:v>
      </x:c>
      <x:c r="C147" s="47" t="str">
        <x:v>프론트엔드·제품</x:v>
      </x:c>
      <x:c r="D147" s="47" t="str">
        <x:v>D11-FE-03</x:v>
      </x:c>
      <x:c r="E147" s="47" t="str">
        <x:v>설명</x:v>
      </x:c>
      <x:c r="F147" s="47" t="str">
        <x:v>우선순위 계산 설명 패널</x:v>
      </x:c>
      <x:c r="G147" s="47" t="str">
        <x:v>규칙 버전과 feature contribution을 문장과 표로 보여준다.</x:v>
      </x:c>
      <x:c r="H147" s="47" t="str">
        <x:v>frontend/src/features/tasks/PriorityExplanation.tsx</x:v>
      </x:c>
      <x:c r="I147" s="47" t="str">
        <x:v>FR-SCH-004 · 04 §7, 04 §10~11, 09 §5.3</x:v>
      </x:c>
      <x:c r="J147" s="47" t="str">
        <x:v>frontend/src/features/tasks/PriorityExplanation.tsx</x:v>
      </x:c>
      <x:c r="K147" s="47" t="str">
        <x:v>npm --prefix frontend test -- PriorityExplanation</x:v>
      </x:c>
      <x:c r="L147" s="47" t="str">
        <x:v>AI 근거와 규칙 근거 구분</x:v>
      </x:c>
      <x:c r="M147" s="47" t="str">
        <x:v>Production 쓰기 없음</x:v>
      </x:c>
      <x:c r="N147" s="47" t="str">
        <x:v>미착수</x:v>
      </x:c>
      <x:c r="O147" s="47"/>
      <x:c r="P147" s="47"/>
      <x:c r="Q147" s="47" t="str">
        <x:v>공동 계약 v0.1과 해당 Fixture/Mock 준비</x:v>
      </x:c>
      <x:c r="R147" s="47" t="str">
        <x:v>다른 트랙 결과가 없으면 공동 계약 기반 Mock/Fixture로 진행하고 차단 사유를 기록</x:v>
      </x:c>
    </x:row>
    <x:row r="148" ht="72" customHeight="1">
      <x:c r="A148" s="45" t="str">
        <x:v>12일차</x:v>
      </x:c>
      <x:c r="B148" s="45" t="n">
        <x:v>1</x:v>
      </x:c>
      <x:c r="C148" s="45" t="str">
        <x:v>AI·ML</x:v>
      </x:c>
      <x:c r="D148" s="45" t="str">
        <x:v>D12-AI-01</x:v>
      </x:c>
      <x:c r="E148" s="45" t="str">
        <x:v>판정</x:v>
      </x:c>
      <x:c r="F148" s="45" t="str">
        <x:v>BM25·Vector·Hybrid·Reranker 비교 확정</x:v>
      </x:c>
      <x:c r="G148" s="45" t="str">
        <x:v>RAG-01~03 결과를 한 표로 합치고 질문유형별 최종 pipeline을 정한다.</x:v>
      </x:c>
      <x:c r="H148" s="45" t="str">
        <x:v>artifacts/integration/day12/rag_decision.md</x:v>
      </x:c>
      <x:c r="I148" s="45" t="str">
        <x:v>RAG-01~03 · 04 RAG, 06 안전, 09 Day 12</x:v>
      </x:c>
      <x:c r="J148" s="45" t="str">
        <x:v>artifacts/integration/day12/rag_decision.md</x:v>
      </x:c>
      <x:c r="K148" s="45" t="str">
        <x:v>make eval-rag-final</x:v>
      </x:c>
      <x:c r="L148" s="45" t="str">
        <x:v>metric·비용·오류·채택/기각 이유</x:v>
      </x:c>
      <x:c r="M148" s="45" t="str">
        <x:v>Production 쓰기 없음</x:v>
      </x:c>
      <x:c r="N148" s="45" t="str">
        <x:v>미착수</x:v>
      </x:c>
      <x:c r="O148" s="45"/>
      <x:c r="P148" s="45"/>
      <x:c r="Q148" s="45" t="str">
        <x:v>공동 계약 v0.1과 해당 Fixture/Mock 준비</x:v>
      </x:c>
      <x:c r="R148" s="45" t="str">
        <x:v>다른 트랙 결과가 없으면 공동 계약 기반 Mock/Fixture로 진행하고 차단 사유를 기록</x:v>
      </x:c>
    </x:row>
    <x:row r="149" ht="72" customHeight="1">
      <x:c r="A149" s="45" t="str">
        <x:v>12일차</x:v>
      </x:c>
      <x:c r="B149" s="45" t="n">
        <x:v>2</x:v>
      </x:c>
      <x:c r="C149" s="45" t="str">
        <x:v>AI·ML</x:v>
      </x:c>
      <x:c r="D149" s="45" t="str">
        <x:v>D12-AI-02</x:v>
      </x:c>
      <x:c r="E149" s="45" t="str">
        <x:v>생성</x:v>
      </x:c>
      <x:c r="F149" s="45" t="str">
        <x:v>근거 기반 짧은 답변 프롬프트</x:v>
      </x:c>
      <x:c r="G149" s="45" t="str">
        <x:v>인용된 사실만 사용하고 불충분하면 확인 필요로 응답하는 output schema를 만든다.</x:v>
      </x:c>
      <x:c r="H149" s="45" t="str">
        <x:v>ai/prompts/grounded_answer/v1.yaml</x:v>
      </x:c>
      <x:c r="I149" s="45" t="str">
        <x:v>FR-CS-003 · 04 RAG, 06 안전, 09 Day 12</x:v>
      </x:c>
      <x:c r="J149" s="45" t="str">
        <x:v>ai/prompts/grounded_answer/v1.yaml</x:v>
      </x:c>
      <x:c r="K149" s="45" t="str">
        <x:v>make eval-prompt EXP=PROMPT-02</x:v>
      </x:c>
      <x:c r="L149" s="45" t="str">
        <x:v>citation precision·faithfulness·JSON 기록</x:v>
      </x:c>
      <x:c r="M149" s="45" t="str">
        <x:v>Production 쓰기 없음</x:v>
      </x:c>
      <x:c r="N149" s="45" t="str">
        <x:v>미착수</x:v>
      </x:c>
      <x:c r="O149" s="45"/>
      <x:c r="P149" s="45"/>
      <x:c r="Q149" s="45" t="str">
        <x:v>공동 계약 v0.1과 해당 Fixture/Mock 준비</x:v>
      </x:c>
      <x:c r="R149" s="45" t="str">
        <x:v>다른 트랙 결과가 없으면 공동 계약 기반 Mock/Fixture로 진행하고 차단 사유를 기록</x:v>
      </x:c>
    </x:row>
    <x:row r="150" ht="72" customHeight="1">
      <x:c r="A150" s="45" t="str">
        <x:v>12일차</x:v>
      </x:c>
      <x:c r="B150" s="45" t="n">
        <x:v>3</x:v>
      </x:c>
      <x:c r="C150" s="45" t="str">
        <x:v>AI·ML</x:v>
      </x:c>
      <x:c r="D150" s="45" t="str">
        <x:v>D12-AI-03</x:v>
      </x:c>
      <x:c r="E150" s="45" t="str">
        <x:v>fallback</x:v>
      </x:c>
      <x:c r="F150" s="45" t="str">
        <x:v>RAG 실패 분기 구현</x:v>
      </x:c>
      <x:c r="G150" s="45" t="str">
        <x:v>검색 0건, low confidence, stale, conflicting source를 별도 reason code로 human review에 보낸다.</x:v>
      </x:c>
      <x:c r="H150" s="45" t="str">
        <x:v>ai/agents/nodes/rag_fallback.py</x:v>
      </x:c>
      <x:c r="I150" s="45" t="str">
        <x:v>FR-AI-004 · 04 RAG, 06 안전, 09 Day 12</x:v>
      </x:c>
      <x:c r="J150" s="45" t="str">
        <x:v>ai/agents/nodes/rag_fallback.py</x:v>
      </x:c>
      <x:c r="K150" s="45" t="str">
        <x:v>pytest ai/tests/agents/test_rag_fallback.py -q</x:v>
      </x:c>
      <x:c r="L150" s="45" t="str">
        <x:v>확답·도구실행 0건</x:v>
      </x:c>
      <x:c r="M150" s="45" t="str">
        <x:v>Production 쓰기 없음</x:v>
      </x:c>
      <x:c r="N150" s="45" t="str">
        <x:v>미착수</x:v>
      </x:c>
      <x:c r="O150" s="45"/>
      <x:c r="P150" s="45"/>
      <x:c r="Q150" s="45" t="str">
        <x:v>공동 계약 v0.1과 해당 Fixture/Mock 준비</x:v>
      </x:c>
      <x:c r="R150" s="45" t="str">
        <x:v>다른 트랙 결과가 없으면 공동 계약 기반 Mock/Fixture로 진행하고 차단 사유를 기록</x:v>
      </x:c>
    </x:row>
    <x:row r="151" ht="72" customHeight="1">
      <x:c r="A151" s="45" t="str">
        <x:v>12일차</x:v>
      </x:c>
      <x:c r="B151" s="45" t="n">
        <x:v>4</x:v>
      </x:c>
      <x:c r="C151" s="45" t="str">
        <x:v>AI·ML</x:v>
      </x:c>
      <x:c r="D151" s="45" t="str">
        <x:v>D12-AI-04</x:v>
      </x:c>
      <x:c r="E151" s="45" t="str">
        <x:v>비용</x:v>
      </x:c>
      <x:c r="F151" s="45" t="str">
        <x:v>Context compression 토큰 절감 측정</x:v>
      </x:c>
      <x:c r="G151" s="45" t="str">
        <x:v>압축 전후 답변 품질과 input token, p95를 비교한다.</x:v>
      </x:c>
      <x:c r="H151" s="45" t="str">
        <x:v>artifacts/experiments/RAG-COMP-01/result.json</x:v>
      </x:c>
      <x:c r="I151" s="45" t="str">
        <x:v>04 §5.4 · 04 RAG, 06 안전, 09 Day 12</x:v>
      </x:c>
      <x:c r="J151" s="45" t="str">
        <x:v>artifacts/experiments/RAG-COMP-01/result.json</x:v>
      </x:c>
      <x:c r="K151" s="45" t="str">
        <x:v>make eval-context-compression</x:v>
      </x:c>
      <x:c r="L151" s="45" t="str">
        <x:v>품질 하락 한계·토큰 절감률</x:v>
      </x:c>
      <x:c r="M151" s="45" t="str">
        <x:v>Production 쓰기 없음</x:v>
      </x:c>
      <x:c r="N151" s="45" t="str">
        <x:v>미착수</x:v>
      </x:c>
      <x:c r="O151" s="45"/>
      <x:c r="P151" s="45"/>
      <x:c r="Q151" s="45" t="str">
        <x:v>공동 계약 v0.1과 해당 Fixture/Mock 준비</x:v>
      </x:c>
      <x:c r="R151" s="45" t="str">
        <x:v>다른 트랙 결과가 없으면 공동 계약 기반 Mock/Fixture로 진행하고 차단 사유를 기록</x:v>
      </x:c>
    </x:row>
    <x:row r="152" ht="72" customHeight="1">
      <x:c r="A152" s="45" t="str">
        <x:v>12일차</x:v>
      </x:c>
      <x:c r="B152" s="45" t="n">
        <x:v>5</x:v>
      </x:c>
      <x:c r="C152" s="45" t="str">
        <x:v>AI·ML</x:v>
      </x:c>
      <x:c r="D152" s="45" t="str">
        <x:v>D12-AI-05</x:v>
      </x:c>
      <x:c r="E152" s="45" t="str">
        <x:v>통합</x:v>
      </x:c>
      <x:c r="F152" s="45" t="str">
        <x:v>문의 20건 E2E 평가</x:v>
      </x:c>
      <x:c r="G152" s="45" t="str">
        <x:v>분류→검색→답변초안→위험분기 trace를 고정 세트로 실행한다.</x:v>
      </x:c>
      <x:c r="H152" s="45" t="str">
        <x:v>artifacts/integration/day12/inquiry_eval.json</x:v>
      </x:c>
      <x:c r="I152" s="45" t="str">
        <x:v>AC-E2E-04~05 · 04 RAG, 06 안전, 09 Day 12</x:v>
      </x:c>
      <x:c r="J152" s="45" t="str">
        <x:v>artifacts/integration/day12/inquiry_eval.json</x:v>
      </x:c>
      <x:c r="K152" s="45" t="str">
        <x:v>make eval-inquiry-e2e</x:v>
      </x:c>
      <x:c r="L152" s="45" t="str">
        <x:v>고위험 auto-action 0·근거율 보고</x:v>
      </x:c>
      <x:c r="M152" s="45" t="str">
        <x:v>Production 쓰기 없음</x:v>
      </x:c>
      <x:c r="N152" s="45" t="str">
        <x:v>미착수</x:v>
      </x:c>
      <x:c r="O152" s="45"/>
      <x:c r="P152" s="45"/>
      <x:c r="Q152" s="45" t="str">
        <x:v>공동 계약 v0.1과 해당 Fixture/Mock 준비</x:v>
      </x:c>
      <x:c r="R152" s="45" t="str">
        <x:v>다른 트랙 결과가 없으면 공동 계약 기반 Mock/Fixture로 진행하고 차단 사유를 기록</x:v>
      </x:c>
    </x:row>
    <x:row r="153" ht="72" customHeight="1">
      <x:c r="A153" s="46" t="str">
        <x:v>12일차</x:v>
      </x:c>
      <x:c r="B153" s="46" t="n">
        <x:v>1</x:v>
      </x:c>
      <x:c r="C153" s="46" t="str">
        <x:v>백엔드·데이터</x:v>
      </x:c>
      <x:c r="D153" s="46" t="str">
        <x:v>D12-BE-01</x:v>
      </x:c>
      <x:c r="E153" s="46" t="str">
        <x:v>통합</x:v>
      </x:c>
      <x:c r="F153" s="46" t="str">
        <x:v>예약 부족 E2E</x:v>
      </x:c>
      <x:c r="G153" s="46" t="str">
        <x:v>reservation order→shortage→aging task→UI API 흐름을 연결한다.</x:v>
      </x:c>
      <x:c r="H153" s="46" t="str">
        <x:v>backend/tests/integration/test_day12_reservation.py</x:v>
      </x:c>
      <x:c r="I153" s="46" t="str">
        <x:v>AC-E2E-02 · 04 RAG, 06 안전, 09 Day 12</x:v>
      </x:c>
      <x:c r="J153" s="46" t="str">
        <x:v>backend/tests/integration/test_day12_reservation.py</x:v>
      </x:c>
      <x:c r="K153" s="46" t="str">
        <x:v>pytest backend/tests/integration/test_day12_reservation.py -q</x:v>
      </x:c>
      <x:c r="L153" s="46" t="str">
        <x:v>부족수량·Task·evidence 일치</x:v>
      </x:c>
      <x:c r="M153" s="46" t="str">
        <x:v>Production 쓰기 없음</x:v>
      </x:c>
      <x:c r="N153" s="46" t="str">
        <x:v>미착수</x:v>
      </x:c>
      <x:c r="O153" s="46"/>
      <x:c r="P153" s="46"/>
      <x:c r="Q153" s="46" t="str">
        <x:v>공동 계약 v0.1과 해당 Fixture/Mock 준비</x:v>
      </x:c>
      <x:c r="R153" s="46" t="str">
        <x:v>다른 트랙 결과가 없으면 공동 계약 기반 Mock/Fixture로 진행하고 차단 사유를 기록</x:v>
      </x:c>
    </x:row>
    <x:row r="154" ht="72" customHeight="1">
      <x:c r="A154" s="46" t="str">
        <x:v>12일차</x:v>
      </x:c>
      <x:c r="B154" s="46" t="n">
        <x:v>2</x:v>
      </x:c>
      <x:c r="C154" s="46" t="str">
        <x:v>백엔드·데이터</x:v>
      </x:c>
      <x:c r="D154" s="46" t="str">
        <x:v>D12-BE-02</x:v>
      </x:c>
      <x:c r="E154" s="46" t="str">
        <x:v>통합</x:v>
      </x:c>
      <x:c r="F154" s="46" t="str">
        <x:v>입고 지연 재계획 E2E</x:v>
      </x:c>
      <x:c r="G154" s="46" t="str">
        <x:v>incoming delay→impact path→proposal diff를 연결하고 원본 일정 불변을 확인한다.</x:v>
      </x:c>
      <x:c r="H154" s="46" t="str">
        <x:v>backend/tests/integration/test_day12_replanning.py</x:v>
      </x:c>
      <x:c r="I154" s="46" t="str">
        <x:v>AC-E2E-03 · 04 RAG, 06 안전, 09 Day 12</x:v>
      </x:c>
      <x:c r="J154" s="46" t="str">
        <x:v>backend/tests/integration/test_day12_replanning.py</x:v>
      </x:c>
      <x:c r="K154" s="46" t="str">
        <x:v>pytest backend/tests/integration/test_day12_replanning.py -q</x:v>
      </x:c>
      <x:c r="L154" s="46" t="str">
        <x:v>영향 경로·제안·승인 전 미적용</x:v>
      </x:c>
      <x:c r="M154" s="46" t="str">
        <x:v>Production 쓰기 없음</x:v>
      </x:c>
      <x:c r="N154" s="46" t="str">
        <x:v>미착수</x:v>
      </x:c>
      <x:c r="O154" s="46"/>
      <x:c r="P154" s="46"/>
      <x:c r="Q154" s="46" t="str">
        <x:v>공동 계약 v0.1과 해당 Fixture/Mock 준비</x:v>
      </x:c>
      <x:c r="R154" s="46" t="str">
        <x:v>다른 트랙 결과가 없으면 공동 계약 기반 Mock/Fixture로 진행하고 차단 사유를 기록</x:v>
      </x:c>
    </x:row>
    <x:row r="155" ht="72" customHeight="1">
      <x:c r="A155" s="46" t="str">
        <x:v>12일차</x:v>
      </x:c>
      <x:c r="B155" s="46" t="n">
        <x:v>3</x:v>
      </x:c>
      <x:c r="C155" s="46" t="str">
        <x:v>백엔드·데이터</x:v>
      </x:c>
      <x:c r="D155" s="46" t="str">
        <x:v>D12-BE-03</x:v>
      </x:c>
      <x:c r="E155" s="46" t="str">
        <x:v>통합</x:v>
      </x:c>
      <x:c r="F155" s="46" t="str">
        <x:v>문의 AI 서비스 orchestration</x:v>
      </x:c>
      <x:c r="G155" s="46" t="str">
        <x:v>sanitized inquiry만 AI에 전달하고 결과·citation·route를 저장한다. ai-response.v0.1을 Raw 상태로 UI에 노출하지 않고 Backend Projection/Adapter에서 화면용 Insight/CS Draft 계약으로 변환하며 명시적 provenance를 검증한다.</x:v>
      </x:c>
      <x:c r="H155" s="46" t="str">
        <x:v>backend/app/services/inquiry_orchestrator.py</x:v>
      </x:c>
      <x:c r="I155" s="46" t="str">
        <x:v>FR-CS-001~004 · 04 RAG, 06 안전, 09 Day 12</x:v>
      </x:c>
      <x:c r="J155" s="46" t="str">
        <x:v>backend/app/services/inquiry_orchestrator.py</x:v>
      </x:c>
      <x:c r="K155" s="46" t="str">
        <x:v>pytest backend/tests/integration/test_inquiry_orchestrator.py -q</x:v>
      </x:c>
      <x:c r="L155" s="46" t="str">
        <x:v>PII·자동전송 0건, AI Response→Backend Projection→Frontend 소비 계약 차이 0건, provenance 오표시 0건</x:v>
      </x:c>
      <x:c r="M155" s="46" t="str">
        <x:v>Production 쓰기 없음</x:v>
      </x:c>
      <x:c r="N155" s="46" t="str">
        <x:v>미착수</x:v>
      </x:c>
      <x:c r="O155" s="46"/>
      <x:c r="P155" s="46" t="str">
        <x:v>D04-CONTRACT-002/003 미해결 시 Raw AI 응답 직접 노출과 model_run_id 기반 출처 추론을 금지하고 OPEN 유지</x:v>
      </x:c>
      <x:c r="Q155" s="46" t="str">
        <x:v>공동 계약 v0.1과 해당 Fixture/Mock 준비</x:v>
      </x:c>
      <x:c r="R155" s="46" t="str">
        <x:v>다른 트랙 결과가 없으면 공동 계약 기반 Mock/Fixture로 진행하고 차단 사유를 기록</x:v>
      </x:c>
    </x:row>
    <x:row r="156" ht="72" customHeight="1">
      <x:c r="A156" s="46" t="str">
        <x:v>12일차</x:v>
      </x:c>
      <x:c r="B156" s="46" t="n">
        <x:v>4</x:v>
      </x:c>
      <x:c r="C156" s="46" t="str">
        <x:v>백엔드·데이터</x:v>
      </x:c>
      <x:c r="D156" s="46" t="str">
        <x:v>D12-BE-04</x:v>
      </x:c>
      <x:c r="E156" s="46" t="str">
        <x:v>장애</x:v>
      </x:c>
      <x:c r="F156" s="46" t="str">
        <x:v>검색·모델 timeout fallback</x:v>
      </x:c>
      <x:c r="G156" s="46" t="str">
        <x:v>각 외부 AI 호출에 timeout/retry 상한과 deterministic fallback을 둔다.</x:v>
      </x:c>
      <x:c r="H156" s="46" t="str">
        <x:v>backend/tests/integration/test_ai_dependency_failure.py</x:v>
      </x:c>
      <x:c r="I156" s="46" t="str">
        <x:v>NFR-REL-001 · 04 RAG, 06 안전, 09 Day 12</x:v>
      </x:c>
      <x:c r="J156" s="46" t="str">
        <x:v>backend/tests/integration/test_ai_dependency_failure.py</x:v>
      </x:c>
      <x:c r="K156" s="46" t="str">
        <x:v>pytest backend/tests/integration/test_ai_dependency_failure.py -q</x:v>
      </x:c>
      <x:c r="L156" s="46" t="str">
        <x:v>무한 재시도 0·안전 응답</x:v>
      </x:c>
      <x:c r="M156" s="46" t="str">
        <x:v>Production 쓰기 없음</x:v>
      </x:c>
      <x:c r="N156" s="46" t="str">
        <x:v>미착수</x:v>
      </x:c>
      <x:c r="O156" s="46"/>
      <x:c r="P156" s="46"/>
      <x:c r="Q156" s="46" t="str">
        <x:v>공동 계약 v0.1과 해당 Fixture/Mock 준비</x:v>
      </x:c>
      <x:c r="R156" s="46" t="str">
        <x:v>다른 트랙 결과가 없으면 공동 계약 기반 Mock/Fixture로 진행하고 차단 사유를 기록</x:v>
      </x:c>
    </x:row>
    <x:row r="157" ht="72" customHeight="1">
      <x:c r="A157" s="46" t="str">
        <x:v>12일차</x:v>
      </x:c>
      <x:c r="B157" s="46" t="n">
        <x:v>5</x:v>
      </x:c>
      <x:c r="C157" s="46" t="str">
        <x:v>백엔드·데이터</x:v>
      </x:c>
      <x:c r="D157" s="46" t="str">
        <x:v>D12-BE-05</x:v>
      </x:c>
      <x:c r="E157" s="46" t="str">
        <x:v>결함</x:v>
      </x:c>
      <x:c r="F157" s="46" t="str">
        <x:v>Day 12 결함·성능·안전 보고</x:v>
      </x:c>
      <x:c r="G157" s="46" t="str">
        <x:v>세 시나리오 결과, blocking defect, write count, PII scan을 한 manifest로 묶는다.</x:v>
      </x:c>
      <x:c r="H157" s="46" t="str">
        <x:v>artifacts/integration/day12/summary.json</x:v>
      </x:c>
      <x:c r="I157" s="46" t="str">
        <x:v>09 §7~9 · 04 RAG, 06 안전, 09 Day 12</x:v>
      </x:c>
      <x:c r="J157" s="46" t="str">
        <x:v>artifacts/integration/day12/summary.json</x:v>
      </x:c>
      <x:c r="K157" s="46" t="str">
        <x:v>python scripts/validate_integration_summary.py day12</x:v>
      </x:c>
      <x:c r="L157" s="46" t="str">
        <x:v>필수 증거 경로 100%</x:v>
      </x:c>
      <x:c r="M157" s="46" t="str">
        <x:v>Production 쓰기 없음</x:v>
      </x:c>
      <x:c r="N157" s="46" t="str">
        <x:v>미착수</x:v>
      </x:c>
      <x:c r="O157" s="46"/>
      <x:c r="P157" s="46"/>
      <x:c r="Q157" s="46" t="str">
        <x:v>공동 계약 v0.1과 해당 Fixture/Mock 준비</x:v>
      </x:c>
      <x:c r="R157" s="46" t="str">
        <x:v>다른 트랙 결과가 없으면 공동 계약 기반 Mock/Fixture로 진행하고 차단 사유를 기록</x:v>
      </x:c>
    </x:row>
    <x:row r="158" ht="72" customHeight="1">
      <x:c r="A158" s="47" t="str">
        <x:v>12일차</x:v>
      </x:c>
      <x:c r="B158" s="47" t="n">
        <x:v>1</x:v>
      </x:c>
      <x:c r="C158" s="47" t="str">
        <x:v>프론트엔드·제품</x:v>
      </x:c>
      <x:c r="D158" s="47" t="str">
        <x:v>D12-FE-01</x:v>
      </x:c>
      <x:c r="E158" s="47" t="str">
        <x:v>E2E</x:v>
      </x:c>
      <x:c r="F158" s="47" t="str">
        <x:v>예약 부족 사용자 흐름</x:v>
      </x:c>
      <x:c r="G158" s="47" t="str">
        <x:v>위험목록→상세→Task 제안→근거를 검증한다.</x:v>
      </x:c>
      <x:c r="H158" s="47" t="str">
        <x:v>frontend/e2e/reservation-risk.spec.ts</x:v>
      </x:c>
      <x:c r="I158" s="47" t="str">
        <x:v>AC-E2E-02 · 04 RAG, 06 안전, 09 Day 12</x:v>
      </x:c>
      <x:c r="J158" s="47" t="str">
        <x:v>frontend/e2e/reservation-risk.spec.ts</x:v>
      </x:c>
      <x:c r="K158" s="47" t="str">
        <x:v>npm --prefix frontend run e2e -- reservation-risk</x:v>
      </x:c>
      <x:c r="L158" s="47" t="str">
        <x:v>스크린샷·request_id</x:v>
      </x:c>
      <x:c r="M158" s="47" t="str">
        <x:v>Production 쓰기 없음</x:v>
      </x:c>
      <x:c r="N158" s="47" t="str">
        <x:v>미착수</x:v>
      </x:c>
      <x:c r="O158" s="47"/>
      <x:c r="P158" s="47"/>
      <x:c r="Q158" s="47" t="str">
        <x:v>공동 계약 v0.1과 해당 Fixture/Mock 준비</x:v>
      </x:c>
      <x:c r="R158" s="47" t="str">
        <x:v>다른 트랙 결과가 없으면 공동 계약 기반 Mock/Fixture로 진행하고 차단 사유를 기록</x:v>
      </x:c>
    </x:row>
    <x:row r="159" ht="72" customHeight="1">
      <x:c r="A159" s="47" t="str">
        <x:v>12일차</x:v>
      </x:c>
      <x:c r="B159" s="47" t="n">
        <x:v>2</x:v>
      </x:c>
      <x:c r="C159" s="47" t="str">
        <x:v>프론트엔드·제품</x:v>
      </x:c>
      <x:c r="D159" s="47" t="str">
        <x:v>D12-FE-02</x:v>
      </x:c>
      <x:c r="E159" s="47" t="str">
        <x:v>E2E</x:v>
      </x:c>
      <x:c r="F159" s="47" t="str">
        <x:v>입고지연 재계획 사용자 흐름</x:v>
      </x:c>
      <x:c r="G159" s="47" t="str">
        <x:v>영향 목록→before/after→Demo 검토를 검증한다.</x:v>
      </x:c>
      <x:c r="H159" s="47" t="str">
        <x:v>frontend/e2e/launch-delay.spec.ts</x:v>
      </x:c>
      <x:c r="I159" s="47" t="str">
        <x:v>AC-E2E-03 · 04 RAG, 06 안전, 09 Day 12</x:v>
      </x:c>
      <x:c r="J159" s="47" t="str">
        <x:v>frontend/e2e/launch-delay.spec.ts</x:v>
      </x:c>
      <x:c r="K159" s="47" t="str">
        <x:v>npm --prefix frontend run e2e -- launch-delay</x:v>
      </x:c>
      <x:c r="L159" s="47" t="str">
        <x:v>원본 일정 유지 표시</x:v>
      </x:c>
      <x:c r="M159" s="47" t="str">
        <x:v>Production 쓰기 없음</x:v>
      </x:c>
      <x:c r="N159" s="47" t="str">
        <x:v>미착수</x:v>
      </x:c>
      <x:c r="O159" s="47"/>
      <x:c r="P159" s="47"/>
      <x:c r="Q159" s="47" t="str">
        <x:v>공동 계약 v0.1과 해당 Fixture/Mock 준비</x:v>
      </x:c>
      <x:c r="R159" s="47" t="str">
        <x:v>다른 트랙 결과가 없으면 공동 계약 기반 Mock/Fixture로 진행하고 차단 사유를 기록</x:v>
      </x:c>
    </x:row>
    <x:row r="160" ht="72" customHeight="1">
      <x:c r="A160" s="47" t="str">
        <x:v>12일차</x:v>
      </x:c>
      <x:c r="B160" s="47" t="n">
        <x:v>3</x:v>
      </x:c>
      <x:c r="C160" s="47" t="str">
        <x:v>프론트엔드·제품</x:v>
      </x:c>
      <x:c r="D160" s="47" t="str">
        <x:v>D12-FE-03</x:v>
      </x:c>
      <x:c r="E160" s="47" t="str">
        <x:v>E2E</x:v>
      </x:c>
      <x:c r="F160" s="47" t="str">
        <x:v>근거있는 문의초안·위험차단</x:v>
      </x:c>
      <x:c r="G160" s="47" t="str">
        <x:v>일반문의 citation과 고위험문의 manual review를 연속 검증한다. Backend Projection으로 제공된 화면 계약만 소비하고 Raw AI Response 직접 소비 및 model_run_id=null 기반 Rule 추론이 없는지 확인한다.</x:v>
      </x:c>
      <x:c r="H160" s="47" t="str">
        <x:v>frontend/e2e/inquiry-grounding.spec.ts</x:v>
      </x:c>
      <x:c r="I160" s="47" t="str">
        <x:v>AC-E2E-04~05 · 04 RAG, 06 안전, 09 Day 12</x:v>
      </x:c>
      <x:c r="J160" s="47" t="str">
        <x:v>frontend/e2e/inquiry-grounding.spec.ts</x:v>
      </x:c>
      <x:c r="K160" s="47" t="str">
        <x:v>npm --prefix frontend run e2e -- inquiry-grounding</x:v>
      </x:c>
      <x:c r="L160" s="47" t="str">
        <x:v>자동전송·금지 CTA 0개, citation/evidence 추적 가능, provenance 오표시 0건</x:v>
      </x:c>
      <x:c r="M160" s="47" t="str">
        <x:v>Production 쓰기 없음</x:v>
      </x:c>
      <x:c r="N160" s="47" t="str">
        <x:v>미착수</x:v>
      </x:c>
      <x:c r="O160" s="47"/>
      <x:c r="P160" s="47" t="str">
        <x:v>D04-CONTRACT-002/003의 공동 계약이 미확정이면 출처 확인 불가와 no-action 상태를 유지</x:v>
      </x:c>
      <x:c r="Q160" s="47" t="str">
        <x:v>공동 계약 v0.1과 해당 Fixture/Mock 준비</x:v>
      </x:c>
      <x:c r="R160" s="47" t="str">
        <x:v>다른 트랙 결과가 없으면 공동 계약 기반 Mock/Fixture로 진행하고 차단 사유를 기록</x:v>
      </x:c>
    </x:row>
    <x:row r="161" ht="72" customHeight="1">
      <x:c r="A161" s="45" t="str">
        <x:v>13일차</x:v>
      </x:c>
      <x:c r="B161" s="45" t="n">
        <x:v>1</x:v>
      </x:c>
      <x:c r="C161" s="45" t="str">
        <x:v>AI·ML</x:v>
      </x:c>
      <x:c r="D161" s="45" t="str">
        <x:v>D13-AI-01</x:v>
      </x:c>
      <x:c r="E161" s="45" t="str">
        <x:v>학습</x:v>
      </x:c>
      <x:c r="F161" s="45" t="str">
        <x:v>QLoRA 실험 1 실행</x:v>
      </x:c>
      <x:c r="G161" s="45" t="str">
        <x:v>선정 base와 rank/lr/epoch 설정을 seed·dataset hash와 함께 실행한다.</x:v>
      </x:c>
      <x:c r="H161" s="45" t="str">
        <x:v>artifacts/training/FT-01/run01/</x:v>
      </x:c>
      <x:c r="I161" s="45" t="str">
        <x:v>FT-01 · 04 §7~8, 05 관계모델, 09 §5.3~4</x:v>
      </x:c>
      <x:c r="J161" s="45" t="str">
        <x:v>artifacts/training/FT-01/run01/</x:v>
      </x:c>
      <x:c r="K161" s="45" t="str">
        <x:v>make train-qlora RUN=run01</x:v>
      </x:c>
      <x:c r="L161" s="45" t="str">
        <x:v>config·log·GPU·시간·비용·checkpoint</x:v>
      </x:c>
      <x:c r="M161" s="45" t="str">
        <x:v>Production 쓰기 없음</x:v>
      </x:c>
      <x:c r="N161" s="45" t="str">
        <x:v>미착수</x:v>
      </x:c>
      <x:c r="O161" s="45"/>
      <x:c r="P161" s="45"/>
      <x:c r="Q161" s="45" t="str">
        <x:v>공동 계약 v0.1과 해당 Fixture/Mock 준비</x:v>
      </x:c>
      <x:c r="R161" s="45" t="str">
        <x:v>다른 트랙 결과가 없으면 공동 계약 기반 Mock/Fixture로 진행하고 차단 사유를 기록</x:v>
      </x:c>
    </x:row>
    <x:row r="162" ht="72" customHeight="1">
      <x:c r="A162" s="45" t="str">
        <x:v>13일차</x:v>
      </x:c>
      <x:c r="B162" s="45" t="n">
        <x:v>2</x:v>
      </x:c>
      <x:c r="C162" s="45" t="str">
        <x:v>AI·ML</x:v>
      </x:c>
      <x:c r="D162" s="45" t="str">
        <x:v>D13-AI-02</x:v>
      </x:c>
      <x:c r="E162" s="45" t="str">
        <x:v>학습</x:v>
      </x:c>
      <x:c r="F162" s="45" t="str">
        <x:v>QLoRA 실험 2 실행</x:v>
      </x:c>
      <x:c r="G162" s="45" t="str">
        <x:v>rank 또는 lr 한 축만 바꿔 원인 비교가 가능하게 한다.</x:v>
      </x:c>
      <x:c r="H162" s="45" t="str">
        <x:v>artifacts/training/FT-01/run02/</x:v>
      </x:c>
      <x:c r="I162" s="45" t="str">
        <x:v>FT-01 · 04 §7~8, 05 관계모델, 09 §5.3~4</x:v>
      </x:c>
      <x:c r="J162" s="45" t="str">
        <x:v>artifacts/training/FT-01/run02/</x:v>
      </x:c>
      <x:c r="K162" s="45" t="str">
        <x:v>make train-qlora RUN=run02</x:v>
      </x:c>
      <x:c r="L162" s="45" t="str">
        <x:v>변경 변수 1개·manifest</x:v>
      </x:c>
      <x:c r="M162" s="45" t="str">
        <x:v>Production 쓰기 없음</x:v>
      </x:c>
      <x:c r="N162" s="45" t="str">
        <x:v>미착수</x:v>
      </x:c>
      <x:c r="O162" s="45"/>
      <x:c r="P162" s="45"/>
      <x:c r="Q162" s="45" t="str">
        <x:v>공동 계약 v0.1과 해당 Fixture/Mock 준비</x:v>
      </x:c>
      <x:c r="R162" s="45" t="str">
        <x:v>다른 트랙 결과가 없으면 공동 계약 기반 Mock/Fixture로 진행하고 차단 사유를 기록</x:v>
      </x:c>
    </x:row>
    <x:row r="163" ht="72" customHeight="1">
      <x:c r="A163" s="45" t="str">
        <x:v>13일차</x:v>
      </x:c>
      <x:c r="B163" s="45" t="n">
        <x:v>3</x:v>
      </x:c>
      <x:c r="C163" s="45" t="str">
        <x:v>AI·ML</x:v>
      </x:c>
      <x:c r="D163" s="45" t="str">
        <x:v>D13-AI-03</x:v>
      </x:c>
      <x:c r="E163" s="45" t="str">
        <x:v>평가</x:v>
      </x:c>
      <x:c r="F163" s="45" t="str">
        <x:v>중간·최종 checkpoint 동일세트 평가</x:v>
      </x:c>
      <x:c r="G163" s="45" t="str">
        <x:v>각 checkpoint를 intent/entity/JSON/field/latency로 평가한다.</x:v>
      </x:c>
      <x:c r="H163" s="45" t="str">
        <x:v>artifacts/experiments/FT-01/checkpoints.json</x:v>
      </x:c>
      <x:c r="I163" s="45" t="str">
        <x:v>09 §5.3 · 04 §7~8, 05 관계모델, 09 §5.3~4</x:v>
      </x:c>
      <x:c r="J163" s="45" t="str">
        <x:v>artifacts/experiments/FT-01/checkpoints.json</x:v>
      </x:c>
      <x:c r="K163" s="45" t="str">
        <x:v>make eval-checkpoints EXP=FT-01</x:v>
      </x:c>
      <x:c r="L163" s="45" t="str">
        <x:v>checkpoint별 지표와 overfit gap</x:v>
      </x:c>
      <x:c r="M163" s="45" t="str">
        <x:v>Production 쓰기 없음</x:v>
      </x:c>
      <x:c r="N163" s="45" t="str">
        <x:v>미착수</x:v>
      </x:c>
      <x:c r="O163" s="45"/>
      <x:c r="P163" s="45"/>
      <x:c r="Q163" s="45" t="str">
        <x:v>공동 계약 v0.1과 해당 Fixture/Mock 준비</x:v>
      </x:c>
      <x:c r="R163" s="45" t="str">
        <x:v>다른 트랙 결과가 없으면 공동 계약 기반 Mock/Fixture로 진행하고 차단 사유를 기록</x:v>
      </x:c>
    </x:row>
    <x:row r="164" ht="72" customHeight="1">
      <x:c r="A164" s="45" t="str">
        <x:v>13일차</x:v>
      </x:c>
      <x:c r="B164" s="45" t="n">
        <x:v>4</x:v>
      </x:c>
      <x:c r="C164" s="45" t="str">
        <x:v>AI·ML</x:v>
      </x:c>
      <x:c r="D164" s="45" t="str">
        <x:v>D13-AI-04</x:v>
      </x:c>
      <x:c r="E164" s="45" t="str">
        <x:v>과적합</x:v>
      </x:c>
      <x:c r="F164" s="45" t="str">
        <x:v>train/valid/test·class별 오류 분석</x:v>
      </x:c>
      <x:c r="G164" s="45" t="str">
        <x:v>빈도가 낮은 intent와 entity type, schema 오류를 Base와 비교한다.</x:v>
      </x:c>
      <x:c r="H164" s="45" t="str">
        <x:v>artifacts/experiments/FT-01/error_analysis.md</x:v>
      </x:c>
      <x:c r="I164" s="45" t="str">
        <x:v>04 §7.4 · 04 §7~8, 05 관계모델, 09 §5.3~4</x:v>
      </x:c>
      <x:c r="J164" s="45" t="str">
        <x:v>artifacts/experiments/FT-01/error_analysis.md</x:v>
      </x:c>
      <x:c r="K164" s="45" t="str">
        <x:v>python -m ai.evaluation.check_error_report --exp FT-01</x:v>
      </x:c>
      <x:c r="L164" s="45" t="str">
        <x:v>대표 오류·원인·수정안</x:v>
      </x:c>
      <x:c r="M164" s="45" t="str">
        <x:v>Production 쓰기 없음</x:v>
      </x:c>
      <x:c r="N164" s="45" t="str">
        <x:v>미착수</x:v>
      </x:c>
      <x:c r="O164" s="45"/>
      <x:c r="P164" s="45"/>
      <x:c r="Q164" s="45" t="str">
        <x:v>공동 계약 v0.1과 해당 Fixture/Mock 준비</x:v>
      </x:c>
      <x:c r="R164" s="45" t="str">
        <x:v>다른 트랙 결과가 없으면 공동 계약 기반 Mock/Fixture로 진행하고 차단 사유를 기록</x:v>
      </x:c>
    </x:row>
    <x:row r="165" ht="72" customHeight="1">
      <x:c r="A165" s="45" t="str">
        <x:v>13일차</x:v>
      </x:c>
      <x:c r="B165" s="45" t="n">
        <x:v>5</x:v>
      </x:c>
      <x:c r="C165" s="45" t="str">
        <x:v>AI·ML</x:v>
      </x:c>
      <x:c r="D165" s="45" t="str">
        <x:v>D13-AI-05</x:v>
      </x:c>
      <x:c r="E165" s="45" t="str">
        <x:v>판정</x:v>
      </x:c>
      <x:c r="F165" s="45" t="str">
        <x:v>Base·QLoRA·Large API 중간 판정</x:v>
      </x:c>
      <x:c r="G165" s="45" t="str">
        <x:v>품질·p95·비용과 배포 복잡도를 함께 보고 다음 후보를 선택한다.</x:v>
      </x:c>
      <x:c r="H165" s="45" t="str">
        <x:v>artifacts/experiments/FT-01/decision.md</x:v>
      </x:c>
      <x:c r="I165" s="45" t="str">
        <x:v>FT-01 · 04 §7~8, 05 관계모델, 09 §5.3~4</x:v>
      </x:c>
      <x:c r="J165" s="45" t="str">
        <x:v>artifacts/experiments/FT-01/decision.md</x:v>
      </x:c>
      <x:c r="K165" s="45" t="str">
        <x:v>make eval-report EXP=FT-01</x:v>
      </x:c>
      <x:c r="L165" s="45" t="str">
        <x:v>Base 대비 실제 개선과 기각 이유</x:v>
      </x:c>
      <x:c r="M165" s="45" t="str">
        <x:v>Production 쓰기 없음</x:v>
      </x:c>
      <x:c r="N165" s="45" t="str">
        <x:v>미착수</x:v>
      </x:c>
      <x:c r="O165" s="45"/>
      <x:c r="P165" s="45"/>
      <x:c r="Q165" s="45" t="str">
        <x:v>공동 계약 v0.1과 해당 Fixture/Mock 준비</x:v>
      </x:c>
      <x:c r="R165" s="45" t="str">
        <x:v>다른 트랙 결과가 없으면 공동 계약 기반 Mock/Fixture로 진행하고 차단 사유를 기록</x:v>
      </x:c>
    </x:row>
    <x:row r="166" ht="72" customHeight="1">
      <x:c r="A166" s="46" t="str">
        <x:v>13일차</x:v>
      </x:c>
      <x:c r="B166" s="46" t="n">
        <x:v>1</x:v>
      </x:c>
      <x:c r="C166" s="46" t="str">
        <x:v>백엔드·데이터</x:v>
      </x:c>
      <x:c r="D166" s="46" t="str">
        <x:v>D13-BE-01</x:v>
      </x:c>
      <x:c r="E166" s="46" t="str">
        <x:v>관계</x:v>
      </x:c>
      <x:c r="F166" s="46" t="str">
        <x:v>ProductRelation 타입·제약 구현</x:v>
      </x:c>
      <x:c r="G166" s="46" t="str">
        <x:v>BASE_GAME_OF, EXPANSION_OF, CONTAINS, ACCESSORY_FOR, COMPATIBLE_WITH를 방향성과 함께 검증한다.</x:v>
      </x:c>
      <x:c r="H166" s="46" t="str">
        <x:v>backend/app/models/product_relation.py</x:v>
      </x:c>
      <x:c r="I166" s="46" t="str">
        <x:v>FR-KG-001 · 04 §7~8, 05 관계모델, 09 §5.3~4</x:v>
      </x:c>
      <x:c r="J166" s="46" t="str">
        <x:v>backend/app/models/product_relation.py</x:v>
      </x:c>
      <x:c r="K166" s="46" t="str">
        <x:v>pytest backend/tests/graph/test_relation_model.py -q</x:v>
      </x:c>
      <x:c r="L166" s="46" t="str">
        <x:v>불가능한 self/타입 관계 차단</x:v>
      </x:c>
      <x:c r="M166" s="46" t="str">
        <x:v>Production 쓰기 없음</x:v>
      </x:c>
      <x:c r="N166" s="46" t="str">
        <x:v>미착수</x:v>
      </x:c>
      <x:c r="O166" s="46"/>
      <x:c r="P166" s="46"/>
      <x:c r="Q166" s="46" t="str">
        <x:v>공동 계약 v0.1과 해당 Fixture/Mock 준비</x:v>
      </x:c>
      <x:c r="R166" s="46" t="str">
        <x:v>다른 트랙 결과가 없으면 공동 계약 기반 Mock/Fixture로 진행하고 차단 사유를 기록</x:v>
      </x:c>
    </x:row>
    <x:row r="167" ht="72" customHeight="1">
      <x:c r="A167" s="46" t="str">
        <x:v>13일차</x:v>
      </x:c>
      <x:c r="B167" s="46" t="n">
        <x:v>2</x:v>
      </x:c>
      <x:c r="C167" s="46" t="str">
        <x:v>백엔드·데이터</x:v>
      </x:c>
      <x:c r="D167" s="46" t="str">
        <x:v>D13-BE-02</x:v>
      </x:c>
      <x:c r="E167" s="46" t="str">
        <x:v>해결</x:v>
      </x:c>
      <x:c r="F167" s="46" t="str">
        <x:v>관계 entity resolution·중복 처리</x:v>
      </x:c>
      <x:c r="G167" s="46" t="str">
        <x:v>상품명·판본·언어·브랜드로 후보를 만들고 ambiguous는 검토 Queue로 보낸다.</x:v>
      </x:c>
      <x:c r="H167" s="46" t="str">
        <x:v>backend/app/worker/resolution/relation_resolver.py</x:v>
      </x:c>
      <x:c r="I167" s="46" t="str">
        <x:v>04 §8.2 · 04 §7~8, 05 관계모델, 09 §5.3~4</x:v>
      </x:c>
      <x:c r="J167" s="46" t="str">
        <x:v>backend/app/worker/resolution/relation_resolver.py</x:v>
      </x:c>
      <x:c r="K167" s="46" t="str">
        <x:v>pytest backend/tests/graph/test_relation_resolution.py -q</x:v>
      </x:c>
      <x:c r="L167" s="46" t="str">
        <x:v>잘못된 자동병합 0건</x:v>
      </x:c>
      <x:c r="M167" s="46" t="str">
        <x:v>Production 쓰기 없음</x:v>
      </x:c>
      <x:c r="N167" s="46" t="str">
        <x:v>미착수</x:v>
      </x:c>
      <x:c r="O167" s="46"/>
      <x:c r="P167" s="46"/>
      <x:c r="Q167" s="46" t="str">
        <x:v>공동 계약 v0.1과 해당 Fixture/Mock 준비</x:v>
      </x:c>
      <x:c r="R167" s="46" t="str">
        <x:v>다른 트랙 결과가 없으면 공동 계약 기반 Mock/Fixture로 진행하고 차단 사유를 기록</x:v>
      </x:c>
    </x:row>
    <x:row r="168" ht="72" customHeight="1">
      <x:c r="A168" s="46" t="str">
        <x:v>13일차</x:v>
      </x:c>
      <x:c r="B168" s="46" t="n">
        <x:v>3</x:v>
      </x:c>
      <x:c r="C168" s="46" t="str">
        <x:v>백엔드·데이터</x:v>
      </x:c>
      <x:c r="D168" s="46" t="str">
        <x:v>D13-BE-03</x:v>
      </x:c>
      <x:c r="E168" s="46" t="str">
        <x:v>Projection</x:v>
      </x:c>
      <x:c r="F168" s="46" t="str">
        <x:v>SQL 관계를 graph projection event로 변환</x:v>
      </x:c>
      <x:c r="G168" s="46" t="str">
        <x:v>관계 변경 version과 provenance를 graph index 입력으로 보낸다.</x:v>
      </x:c>
      <x:c r="H168" s="46" t="str">
        <x:v>backend/app/worker/projections/product_graph.py</x:v>
      </x:c>
      <x:c r="I168" s="46" t="str">
        <x:v>03 §4 · 04 §8 · 04 §7~8, 05 관계모델, 09 §5.3~4</x:v>
      </x:c>
      <x:c r="J168" s="46" t="str">
        <x:v>backend/app/worker/projections/product_graph.py</x:v>
      </x:c>
      <x:c r="K168" s="46" t="str">
        <x:v>pytest backend/tests/graph/test_projection.py -q</x:v>
      </x:c>
      <x:c r="L168" s="46" t="str">
        <x:v>SQL과 projection count/hash 일치</x:v>
      </x:c>
      <x:c r="M168" s="46" t="str">
        <x:v>Production 쓰기 없음</x:v>
      </x:c>
      <x:c r="N168" s="46" t="str">
        <x:v>미착수</x:v>
      </x:c>
      <x:c r="O168" s="46"/>
      <x:c r="P168" s="46"/>
      <x:c r="Q168" s="46" t="str">
        <x:v>공동 계약 v0.1과 해당 Fixture/Mock 준비</x:v>
      </x:c>
      <x:c r="R168" s="46" t="str">
        <x:v>다른 트랙 결과가 없으면 공동 계약 기반 Mock/Fixture로 진행하고 차단 사유를 기록</x:v>
      </x:c>
    </x:row>
    <x:row r="169" ht="72" customHeight="1">
      <x:c r="A169" s="46" t="str">
        <x:v>13일차</x:v>
      </x:c>
      <x:c r="B169" s="46" t="n">
        <x:v>4</x:v>
      </x:c>
      <x:c r="C169" s="46" t="str">
        <x:v>백엔드·데이터</x:v>
      </x:c>
      <x:c r="D169" s="46" t="str">
        <x:v>D13-BE-04</x:v>
      </x:c>
      <x:c r="E169" s="46" t="str">
        <x:v>신호</x:v>
      </x:c>
      <x:c r="F169" s="46" t="str">
        <x:v>문의·취소·반품 상품 신호 집계</x:v>
      </x:c>
      <x:c r="G169" s="46" t="str">
        <x:v>PII 없이 product/category/issue/time window별 count와 baseline delta를 계산한다.</x:v>
      </x:c>
      <x:c r="H169" s="46" t="str">
        <x:v>backend/app/services/product_signals.py</x:v>
      </x:c>
      <x:c r="I169" s="46" t="str">
        <x:v>원문 §4 차별점 · 04 §7~8, 05 관계모델, 09 §5.3~4</x:v>
      </x:c>
      <x:c r="J169" s="46" t="str">
        <x:v>backend/app/services/product_signals.py</x:v>
      </x:c>
      <x:c r="K169" s="46" t="str">
        <x:v>pytest backend/tests/analytics/test_product_signals.py -q</x:v>
      </x:c>
      <x:c r="L169" s="46" t="str">
        <x:v>희소구간 과대경고 방지</x:v>
      </x:c>
      <x:c r="M169" s="46" t="str">
        <x:v>Production 쓰기 없음</x:v>
      </x:c>
      <x:c r="N169" s="46" t="str">
        <x:v>미착수</x:v>
      </x:c>
      <x:c r="O169" s="46"/>
      <x:c r="P169" s="46"/>
      <x:c r="Q169" s="46" t="str">
        <x:v>공동 계약 v0.1과 해당 Fixture/Mock 준비</x:v>
      </x:c>
      <x:c r="R169" s="46" t="str">
        <x:v>다른 트랙 결과가 없으면 공동 계약 기반 Mock/Fixture로 진행하고 차단 사유를 기록</x:v>
      </x:c>
    </x:row>
    <x:row r="170" ht="72" customHeight="1">
      <x:c r="A170" s="46" t="str">
        <x:v>13일차</x:v>
      </x:c>
      <x:c r="B170" s="46" t="n">
        <x:v>5</x:v>
      </x:c>
      <x:c r="C170" s="46" t="str">
        <x:v>백엔드·데이터</x:v>
      </x:c>
      <x:c r="D170" s="46" t="str">
        <x:v>D13-BE-05</x:v>
      </x:c>
      <x:c r="E170" s="46" t="str">
        <x:v>API</x:v>
      </x:c>
      <x:c r="F170" s="46" t="str">
        <x:v>상품관계·신호 조회 API</x:v>
      </x:c>
      <x:c r="G170" s="46" t="str">
        <x:v>관계와 inquiry/return signal을 evidence와 함께 read-only로 제공한다.</x:v>
      </x:c>
      <x:c r="H170" s="46" t="str">
        <x:v>backend/app/routes/products.py</x:v>
      </x:c>
      <x:c r="I170" s="46" t="str">
        <x:v>FR-KG-001 · 04 §7~8, 05 관계모델, 09 §5.3~4</x:v>
      </x:c>
      <x:c r="J170" s="46" t="str">
        <x:v>backend/app/routes/products.py</x:v>
      </x:c>
      <x:c r="K170" s="46" t="str">
        <x:v>pytest backend/tests/api/test_product_relations.py -q</x:v>
      </x:c>
      <x:c r="L170" s="46" t="str">
        <x:v>tenant·pagination·source 추적</x:v>
      </x:c>
      <x:c r="M170" s="46" t="str">
        <x:v>Production 쓰기 없음</x:v>
      </x:c>
      <x:c r="N170" s="46" t="str">
        <x:v>미착수</x:v>
      </x:c>
      <x:c r="O170" s="46"/>
      <x:c r="P170" s="46"/>
      <x:c r="Q170" s="46" t="str">
        <x:v>공동 계약 v0.1과 해당 Fixture/Mock 준비</x:v>
      </x:c>
      <x:c r="R170" s="46" t="str">
        <x:v>다른 트랙 결과가 없으면 공동 계약 기반 Mock/Fixture로 진행하고 차단 사유를 기록</x:v>
      </x:c>
    </x:row>
    <x:row r="171" ht="72" customHeight="1">
      <x:c r="A171" s="47" t="str">
        <x:v>13일차</x:v>
      </x:c>
      <x:c r="B171" s="47" t="n">
        <x:v>1</x:v>
      </x:c>
      <x:c r="C171" s="47" t="str">
        <x:v>프론트엔드·제품</x:v>
      </x:c>
      <x:c r="D171" s="47" t="str">
        <x:v>D13-FE-01</x:v>
      </x:c>
      <x:c r="E171" s="47" t="str">
        <x:v>관계</x:v>
      </x:c>
      <x:c r="F171" s="47" t="str">
        <x:v>본판·확장·구성품 관계 영역</x:v>
      </x:c>
      <x:c r="G171" s="47" t="str">
        <x:v>상품 상세에 관계 유형, 방향, 언어/판본, 근거를 목록으로 표시한다.</x:v>
      </x:c>
      <x:c r="H171" s="47" t="str">
        <x:v>frontend/src/features/products/RelationsPanel.tsx</x:v>
      </x:c>
      <x:c r="I171" s="47" t="str">
        <x:v>07 §5 · 04 §7~8, 05 관계모델, 09 §5.3~4</x:v>
      </x:c>
      <x:c r="J171" s="47" t="str">
        <x:v>frontend/src/features/products/RelationsPanel.tsx</x:v>
      </x:c>
      <x:c r="K171" s="47" t="str">
        <x:v>npm --prefix frontend test -- RelationsPanel</x:v>
      </x:c>
      <x:c r="L171" s="47" t="str">
        <x:v>base/expansion/component fixture 표시</x:v>
      </x:c>
      <x:c r="M171" s="47" t="str">
        <x:v>Production 쓰기 없음</x:v>
      </x:c>
      <x:c r="N171" s="47" t="str">
        <x:v>미착수</x:v>
      </x:c>
      <x:c r="O171" s="47"/>
      <x:c r="P171" s="47"/>
      <x:c r="Q171" s="47" t="str">
        <x:v>공동 계약 v0.1과 해당 Fixture/Mock 준비</x:v>
      </x:c>
      <x:c r="R171" s="47" t="str">
        <x:v>다른 트랙 결과가 없으면 공동 계약 기반 Mock/Fixture로 진행하고 차단 사유를 기록</x:v>
      </x:c>
    </x:row>
    <x:row r="172" ht="72" customHeight="1">
      <x:c r="A172" s="47" t="str">
        <x:v>13일차</x:v>
      </x:c>
      <x:c r="B172" s="47" t="n">
        <x:v>2</x:v>
      </x:c>
      <x:c r="C172" s="47" t="str">
        <x:v>프론트엔드·제품</x:v>
      </x:c>
      <x:c r="D172" s="47" t="str">
        <x:v>D13-FE-02</x:v>
      </x:c>
      <x:c r="E172" s="47" t="str">
        <x:v>신호</x:v>
      </x:c>
      <x:c r="F172" s="47" t="str">
        <x:v>문의·반품 증가 신호 카드</x:v>
      </x:c>
      <x:c r="G172" s="47" t="str">
        <x:v>count, 비교기간, 최소표본, confidence, 근거를 표시한다.</x:v>
      </x:c>
      <x:c r="H172" s="47" t="str">
        <x:v>frontend/src/features/products/SignalCard.tsx</x:v>
      </x:c>
      <x:c r="I172" s="47" t="str">
        <x:v>FR-AI-001 · 04 §7~8, 05 관계모델, 09 §5.3~4</x:v>
      </x:c>
      <x:c r="J172" s="47" t="str">
        <x:v>frontend/src/features/products/SignalCard.tsx</x:v>
      </x:c>
      <x:c r="K172" s="47" t="str">
        <x:v>npm --prefix frontend test -- SignalCard</x:v>
      </x:c>
      <x:c r="L172" s="47" t="str">
        <x:v>표본 부족 시 보류 표시</x:v>
      </x:c>
      <x:c r="M172" s="47" t="str">
        <x:v>Production 쓰기 없음</x:v>
      </x:c>
      <x:c r="N172" s="47" t="str">
        <x:v>미착수</x:v>
      </x:c>
      <x:c r="O172" s="47"/>
      <x:c r="P172" s="47"/>
      <x:c r="Q172" s="47" t="str">
        <x:v>공동 계약 v0.1과 해당 Fixture/Mock 준비</x:v>
      </x:c>
      <x:c r="R172" s="47" t="str">
        <x:v>다른 트랙 결과가 없으면 공동 계약 기반 Mock/Fixture로 진행하고 차단 사유를 기록</x:v>
      </x:c>
    </x:row>
    <x:row r="173" ht="72" customHeight="1">
      <x:c r="A173" s="47" t="str">
        <x:v>13일차</x:v>
      </x:c>
      <x:c r="B173" s="47" t="n">
        <x:v>3</x:v>
      </x:c>
      <x:c r="C173" s="47" t="str">
        <x:v>프론트엔드·제품</x:v>
      </x:c>
      <x:c r="D173" s="47" t="str">
        <x:v>D13-FE-03</x:v>
      </x:c>
      <x:c r="E173" s="47" t="str">
        <x:v>검토</x:v>
      </x:c>
      <x:c r="F173" s="47" t="str">
        <x:v>관계 애매함 검토 UX</x:v>
      </x:c>
      <x:c r="G173" s="47" t="str">
        <x:v>후보 간 차이와 provenance를 비교하고 Demo 내부 승인만 제공한다.</x:v>
      </x:c>
      <x:c r="H173" s="47" t="str">
        <x:v>frontend/src/features/products/RelationReview.tsx</x:v>
      </x:c>
      <x:c r="I173" s="47" t="str">
        <x:v>FR-KG-001 · 04 §7~8, 05 관계모델, 09 §5.3~4</x:v>
      </x:c>
      <x:c r="J173" s="47" t="str">
        <x:v>frontend/src/features/products/RelationReview.tsx</x:v>
      </x:c>
      <x:c r="K173" s="47" t="str">
        <x:v>npm --prefix frontend test -- RelationReview</x:v>
      </x:c>
      <x:c r="L173" s="47" t="str">
        <x:v>자동병합 없음</x:v>
      </x:c>
      <x:c r="M173" s="47" t="str">
        <x:v>Production 쓰기 없음</x:v>
      </x:c>
      <x:c r="N173" s="47" t="str">
        <x:v>미착수</x:v>
      </x:c>
      <x:c r="O173" s="47"/>
      <x:c r="P173" s="47"/>
      <x:c r="Q173" s="47" t="str">
        <x:v>공동 계약 v0.1과 해당 Fixture/Mock 준비</x:v>
      </x:c>
      <x:c r="R173" s="47" t="str">
        <x:v>다른 트랙 결과가 없으면 공동 계약 기반 Mock/Fixture로 진행하고 차단 사유를 기록</x:v>
      </x:c>
    </x:row>
    <x:row r="174" ht="72" customHeight="1">
      <x:c r="A174" s="45" t="str">
        <x:v>14일차</x:v>
      </x:c>
      <x:c r="B174" s="45" t="n">
        <x:v>1</x:v>
      </x:c>
      <x:c r="C174" s="45" t="str">
        <x:v>AI·ML</x:v>
      </x:c>
      <x:c r="D174" s="45" t="str">
        <x:v>D14-AI-01</x:v>
      </x:c>
      <x:c r="E174" s="45" t="str">
        <x:v>스키마</x:v>
      </x:c>
      <x:c r="F174" s="45" t="str">
        <x:v>그래프 entity·relation schema 구현</x:v>
      </x:c>
      <x:c r="G174" s="45" t="str">
        <x:v>Product/BaseGame/Expansion/Component와 Order/Inquiry/Return, Reservation/Incoming/Launch 관계를 정의한다.</x:v>
      </x:c>
      <x:c r="H174" s="45" t="str">
        <x:v>ai/graph/schema.py</x:v>
      </x:c>
      <x:c r="I174" s="45" t="str">
        <x:v>GRAPH-01 · 04 §8, 09 §5.4</x:v>
      </x:c>
      <x:c r="J174" s="45" t="str">
        <x:v>ai/graph/schema.py</x:v>
      </x:c>
      <x:c r="K174" s="45" t="str">
        <x:v>pytest ai/tests/graph/test_schema.py -q</x:v>
      </x:c>
      <x:c r="L174" s="45" t="str">
        <x:v>허용 node/edge와 provenance 검증</x:v>
      </x:c>
      <x:c r="M174" s="45" t="str">
        <x:v>Production 쓰기 없음</x:v>
      </x:c>
      <x:c r="N174" s="45" t="str">
        <x:v>미착수</x:v>
      </x:c>
      <x:c r="O174" s="45"/>
      <x:c r="P174" s="45"/>
      <x:c r="Q174" s="45" t="str">
        <x:v>공동 계약 v0.1과 해당 Fixture/Mock 준비</x:v>
      </x:c>
      <x:c r="R174" s="45" t="str">
        <x:v>다른 트랙 결과가 없으면 공동 계약 기반 Mock/Fixture로 진행하고 차단 사유를 기록</x:v>
      </x:c>
    </x:row>
    <x:row r="175" ht="72" customHeight="1">
      <x:c r="A175" s="45" t="str">
        <x:v>14일차</x:v>
      </x:c>
      <x:c r="B175" s="45" t="n">
        <x:v>2</x:v>
      </x:c>
      <x:c r="C175" s="45" t="str">
        <x:v>AI·ML</x:v>
      </x:c>
      <x:c r="D175" s="45" t="str">
        <x:v>D14-AI-02</x:v>
      </x:c>
      <x:c r="E175" s="45" t="str">
        <x:v>탐색</x:v>
      </x:c>
      <x:c r="F175" s="45" t="str">
        <x:v>관계 질문 traversal 구현</x:v>
      </x:c>
      <x:c r="G175" s="45" t="str">
        <x:v>확장팩 독립 플레이, 포함 구성품, 호환성, 예약→입고→출시 영향 경로를 제한 깊이로 탐색한다.</x:v>
      </x:c>
      <x:c r="H175" s="45" t="str">
        <x:v>ai/graph/traversal.py</x:v>
      </x:c>
      <x:c r="I175" s="45" t="str">
        <x:v>FR-KG-001 · 04 §8, 09 §5.4</x:v>
      </x:c>
      <x:c r="J175" s="45" t="str">
        <x:v>ai/graph/traversal.py</x:v>
      </x:c>
      <x:c r="K175" s="45" t="str">
        <x:v>pytest ai/tests/graph/test_traversal.py -q</x:v>
      </x:c>
      <x:c r="L175" s="45" t="str">
        <x:v>expected path와 cycle 제한 통과</x:v>
      </x:c>
      <x:c r="M175" s="45" t="str">
        <x:v>Production 쓰기 없음</x:v>
      </x:c>
      <x:c r="N175" s="45" t="str">
        <x:v>미착수</x:v>
      </x:c>
      <x:c r="O175" s="45"/>
      <x:c r="P175" s="45"/>
      <x:c r="Q175" s="45" t="str">
        <x:v>공동 계약 v0.1과 해당 Fixture/Mock 준비</x:v>
      </x:c>
      <x:c r="R175" s="45" t="str">
        <x:v>다른 트랙 결과가 없으면 공동 계약 기반 Mock/Fixture로 진행하고 차단 사유를 기록</x:v>
      </x:c>
    </x:row>
    <x:row r="176" ht="72" customHeight="1">
      <x:c r="A176" s="45" t="str">
        <x:v>14일차</x:v>
      </x:c>
      <x:c r="B176" s="45" t="n">
        <x:v>3</x:v>
      </x:c>
      <x:c r="C176" s="45" t="str">
        <x:v>AI·ML</x:v>
      </x:c>
      <x:c r="D176" s="45" t="str">
        <x:v>D14-AI-03</x:v>
      </x:c>
      <x:c r="E176" s="45" t="str">
        <x:v>결합</x:v>
      </x:c>
      <x:c r="F176" s="45" t="str">
        <x:v>Graph+Vector retrieval 후보</x:v>
      </x:c>
      <x:c r="G176" s="45" t="str">
        <x:v>entity를 해석한 뒤 관련 node/edge와 필요한 문서 근거만 vector로 보완한다.</x:v>
      </x:c>
      <x:c r="H176" s="45" t="str">
        <x:v>ai/graph/graph_vector_retrieval.py</x:v>
      </x:c>
      <x:c r="I176" s="45" t="str">
        <x:v>04 §8.4 · 04 §8, 09 §5.4</x:v>
      </x:c>
      <x:c r="J176" s="45" t="str">
        <x:v>ai/graph/graph_vector_retrieval.py</x:v>
      </x:c>
      <x:c r="K176" s="45" t="str">
        <x:v>make eval-graph METHOD=graph_vector</x:v>
      </x:c>
      <x:c r="L176" s="45" t="str">
        <x:v>path·citation·latency 저장</x:v>
      </x:c>
      <x:c r="M176" s="45" t="str">
        <x:v>Production 쓰기 없음</x:v>
      </x:c>
      <x:c r="N176" s="45" t="str">
        <x:v>미착수</x:v>
      </x:c>
      <x:c r="O176" s="45"/>
      <x:c r="P176" s="45"/>
      <x:c r="Q176" s="45" t="str">
        <x:v>공동 계약 v0.1과 해당 Fixture/Mock 준비</x:v>
      </x:c>
      <x:c r="R176" s="45" t="str">
        <x:v>다른 트랙 결과가 없으면 공동 계약 기반 Mock/Fixture로 진행하고 차단 사유를 기록</x:v>
      </x:c>
    </x:row>
    <x:row r="177" ht="72" customHeight="1">
      <x:c r="A177" s="45" t="str">
        <x:v>14일차</x:v>
      </x:c>
      <x:c r="B177" s="45" t="n">
        <x:v>4</x:v>
      </x:c>
      <x:c r="C177" s="45" t="str">
        <x:v>AI·ML</x:v>
      </x:c>
      <x:c r="D177" s="45" t="str">
        <x:v>D14-AI-04</x:v>
      </x:c>
      <x:c r="E177" s="45" t="str">
        <x:v>기준선</x:v>
      </x:c>
      <x:c r="F177" s="45" t="str">
        <x:v>SQL·일반RAG 기준선 실행</x:v>
      </x:c>
      <x:c r="G177" s="45" t="str">
        <x:v>동일 Golden graph query를 SQL join, Hybrid RAG, Graph-aware로 실행한다.</x:v>
      </x:c>
      <x:c r="H177" s="45" t="str">
        <x:v>ai/evaluation/run_graph_eval.py</x:v>
      </x:c>
      <x:c r="I177" s="45" t="str">
        <x:v>GRAPH-01 · 04 §8, 09 §5.4</x:v>
      </x:c>
      <x:c r="J177" s="45" t="str">
        <x:v>ai/evaluation/run_graph_eval.py</x:v>
      </x:c>
      <x:c r="K177" s="45" t="str">
        <x:v>make eval-graph-all</x:v>
      </x:c>
      <x:c r="L177" s="45" t="str">
        <x:v>path accuracy·answer accuracy·latency</x:v>
      </x:c>
      <x:c r="M177" s="45" t="str">
        <x:v>Production 쓰기 없음</x:v>
      </x:c>
      <x:c r="N177" s="45" t="str">
        <x:v>미착수</x:v>
      </x:c>
      <x:c r="O177" s="45"/>
      <x:c r="P177" s="45"/>
      <x:c r="Q177" s="45" t="str">
        <x:v>공동 계약 v0.1과 해당 Fixture/Mock 준비</x:v>
      </x:c>
      <x:c r="R177" s="45" t="str">
        <x:v>다른 트랙 결과가 없으면 공동 계약 기반 Mock/Fixture로 진행하고 차단 사유를 기록</x:v>
      </x:c>
    </x:row>
    <x:row r="178" ht="72" customHeight="1">
      <x:c r="A178" s="45" t="str">
        <x:v>14일차</x:v>
      </x:c>
      <x:c r="B178" s="45" t="n">
        <x:v>5</x:v>
      </x:c>
      <x:c r="C178" s="45" t="str">
        <x:v>AI·ML</x:v>
      </x:c>
      <x:c r="D178" s="45" t="str">
        <x:v>D14-AI-05</x:v>
      </x:c>
      <x:c r="E178" s="45" t="str">
        <x:v>판정</x:v>
      </x:c>
      <x:c r="F178" s="45" t="str">
        <x:v>질문 유형별 Graph 채택·기각</x:v>
      </x:c>
      <x:c r="G178" s="45" t="str">
        <x:v>단순 속성/재고는 SQL·RAG를 유지하고 다중관계에서만 이점이 있는지 판정한다.</x:v>
      </x:c>
      <x:c r="H178" s="45" t="str">
        <x:v>artifacts/experiments/GRAPH-01/decision.md</x:v>
      </x:c>
      <x:c r="I178" s="45" t="str">
        <x:v>09 §5.4 · 04 §8, 09 §5.4</x:v>
      </x:c>
      <x:c r="J178" s="45" t="str">
        <x:v>artifacts/experiments/GRAPH-01/decision.md</x:v>
      </x:c>
      <x:c r="K178" s="45" t="str">
        <x:v>make eval-report EXP=GRAPH-01</x:v>
      </x:c>
      <x:c r="L178" s="45" t="str">
        <x:v>사용·미사용 영역과 이유</x:v>
      </x:c>
      <x:c r="M178" s="45" t="str">
        <x:v>Production 쓰기 없음</x:v>
      </x:c>
      <x:c r="N178" s="45" t="str">
        <x:v>미착수</x:v>
      </x:c>
      <x:c r="O178" s="45"/>
      <x:c r="P178" s="45"/>
      <x:c r="Q178" s="45" t="str">
        <x:v>공동 계약 v0.1과 해당 Fixture/Mock 준비</x:v>
      </x:c>
      <x:c r="R178" s="45" t="str">
        <x:v>다른 트랙 결과가 없으면 공동 계약 기반 Mock/Fixture로 진행하고 차단 사유를 기록</x:v>
      </x:c>
    </x:row>
    <x:row r="179" ht="72" customHeight="1">
      <x:c r="A179" s="46" t="str">
        <x:v>14일차</x:v>
      </x:c>
      <x:c r="B179" s="46" t="n">
        <x:v>1</x:v>
      </x:c>
      <x:c r="C179" s="46" t="str">
        <x:v>백엔드·데이터</x:v>
      </x:c>
      <x:c r="D179" s="46" t="str">
        <x:v>D14-BE-01</x:v>
      </x:c>
      <x:c r="E179" s="46" t="str">
        <x:v>동기화</x:v>
      </x:c>
      <x:c r="F179" s="46" t="str">
        <x:v>SQL→Graph 증분 projection</x:v>
      </x:c>
      <x:c r="G179" s="46" t="str">
        <x:v>outbox cursor와 relation version으로 중복 없이 갱신한다.</x:v>
      </x:c>
      <x:c r="H179" s="46" t="str">
        <x:v>backend/app/worker/projections/graph_sync.py</x:v>
      </x:c>
      <x:c r="I179" s="46" t="str">
        <x:v>03 §4 · 04 §8, 09 §5.4</x:v>
      </x:c>
      <x:c r="J179" s="46" t="str">
        <x:v>backend/app/worker/projections/graph_sync.py</x:v>
      </x:c>
      <x:c r="K179" s="46" t="str">
        <x:v>pytest backend/tests/graph/test_graph_sync.py -q</x:v>
      </x:c>
      <x:c r="L179" s="46" t="str">
        <x:v>재실행 시 node/edge count 불변</x:v>
      </x:c>
      <x:c r="M179" s="46" t="str">
        <x:v>Production 쓰기 없음</x:v>
      </x:c>
      <x:c r="N179" s="46" t="str">
        <x:v>미착수</x:v>
      </x:c>
      <x:c r="O179" s="46"/>
      <x:c r="P179" s="46"/>
      <x:c r="Q179" s="46" t="str">
        <x:v>공동 계약 v0.1과 해당 Fixture/Mock 준비</x:v>
      </x:c>
      <x:c r="R179" s="46" t="str">
        <x:v>다른 트랙 결과가 없으면 공동 계약 기반 Mock/Fixture로 진행하고 차단 사유를 기록</x:v>
      </x:c>
    </x:row>
    <x:row r="180" ht="72" customHeight="1">
      <x:c r="A180" s="46" t="str">
        <x:v>14일차</x:v>
      </x:c>
      <x:c r="B180" s="46" t="n">
        <x:v>2</x:v>
      </x:c>
      <x:c r="C180" s="46" t="str">
        <x:v>백엔드·데이터</x:v>
      </x:c>
      <x:c r="D180" s="46" t="str">
        <x:v>D14-BE-02</x:v>
      </x:c>
      <x:c r="E180" s="46" t="str">
        <x:v>정합성</x:v>
      </x:c>
      <x:c r="F180" s="46" t="str">
        <x:v>SQL·Graph 정합성 검사</x:v>
      </x:c>
      <x:c r="G180" s="46" t="str">
        <x:v>entity/edge count, orphan, direction, provenance hash 차이를 report한다.</x:v>
      </x:c>
      <x:c r="H180" s="46" t="str">
        <x:v>backend/app/worker/quality/graph_consistency.py</x:v>
      </x:c>
      <x:c r="I180" s="46" t="str">
        <x:v>NFR-DATA-001 · 04 §8, 09 §5.4</x:v>
      </x:c>
      <x:c r="J180" s="46" t="str">
        <x:v>backend/app/worker/quality/graph_consistency.py</x:v>
      </x:c>
      <x:c r="K180" s="46" t="str">
        <x:v>pytest backend/tests/graph/test_consistency.py -q</x:v>
      </x:c>
      <x:c r="L180" s="46" t="str">
        <x:v>의도적 불일치 탐지 100%</x:v>
      </x:c>
      <x:c r="M180" s="46" t="str">
        <x:v>Production 쓰기 없음</x:v>
      </x:c>
      <x:c r="N180" s="46" t="str">
        <x:v>미착수</x:v>
      </x:c>
      <x:c r="O180" s="46"/>
      <x:c r="P180" s="46"/>
      <x:c r="Q180" s="46" t="str">
        <x:v>공동 계약 v0.1과 해당 Fixture/Mock 준비</x:v>
      </x:c>
      <x:c r="R180" s="46" t="str">
        <x:v>다른 트랙 결과가 없으면 공동 계약 기반 Mock/Fixture로 진행하고 차단 사유를 기록</x:v>
      </x:c>
    </x:row>
    <x:row r="181" ht="72" customHeight="1">
      <x:c r="A181" s="46" t="str">
        <x:v>14일차</x:v>
      </x:c>
      <x:c r="B181" s="46" t="n">
        <x:v>3</x:v>
      </x:c>
      <x:c r="C181" s="46" t="str">
        <x:v>백엔드·데이터</x:v>
      </x:c>
      <x:c r="D181" s="46" t="str">
        <x:v>D14-BE-03</x:v>
      </x:c>
      <x:c r="E181" s="46" t="str">
        <x:v>질의</x:v>
      </x:c>
      <x:c r="F181" s="46" t="str">
        <x:v>graph query service 계약</x:v>
      </x:c>
      <x:c r="G181" s="46" t="str">
        <x:v>query_type, entity_ids, max_depth를 받고 paths/evidence/confidence를 반환한다.</x:v>
      </x:c>
      <x:c r="H181" s="46" t="str">
        <x:v>backend/app/services/graph_query.py</x:v>
      </x:c>
      <x:c r="I181" s="46" t="str">
        <x:v>05 §4.3 · 04 §8, 09 §5.4</x:v>
      </x:c>
      <x:c r="J181" s="46" t="str">
        <x:v>backend/app/services/graph_query.py</x:v>
      </x:c>
      <x:c r="K181" s="46" t="str">
        <x:v>pytest backend/tests/api/test_graph_query.py -q</x:v>
      </x:c>
      <x:c r="L181" s="46" t="str">
        <x:v>depth/time limit과 tenant 격리</x:v>
      </x:c>
      <x:c r="M181" s="46" t="str">
        <x:v>Production 쓰기 없음</x:v>
      </x:c>
      <x:c r="N181" s="46" t="str">
        <x:v>미착수</x:v>
      </x:c>
      <x:c r="O181" s="46"/>
      <x:c r="P181" s="46"/>
      <x:c r="Q181" s="46" t="str">
        <x:v>공동 계약 v0.1과 해당 Fixture/Mock 준비</x:v>
      </x:c>
      <x:c r="R181" s="46" t="str">
        <x:v>다른 트랙 결과가 없으면 공동 계약 기반 Mock/Fixture로 진행하고 차단 사유를 기록</x:v>
      </x:c>
    </x:row>
    <x:row r="182" ht="72" customHeight="1">
      <x:c r="A182" s="46" t="str">
        <x:v>14일차</x:v>
      </x:c>
      <x:c r="B182" s="46" t="n">
        <x:v>4</x:v>
      </x:c>
      <x:c r="C182" s="46" t="str">
        <x:v>백엔드·데이터</x:v>
      </x:c>
      <x:c r="D182" s="46" t="str">
        <x:v>D14-BE-04</x:v>
      </x:c>
      <x:c r="E182" s="46" t="str">
        <x:v>Fallback</x:v>
      </x:c>
      <x:c r="F182" s="46" t="str">
        <x:v>Graph 장애 시 SQL/RAG fallback</x:v>
      </x:c>
      <x:c r="G182" s="46" t="str">
        <x:v>graph unavailable이면 지원되는 질문만 SQL/RAG로 처리하고 관계누락을 표시한다.</x:v>
      </x:c>
      <x:c r="H182" s="46" t="str">
        <x:v>backend/app/services/graph_fallback.py</x:v>
      </x:c>
      <x:c r="I182" s="46" t="str">
        <x:v>NFR-REL-001 · 04 §8, 09 §5.4</x:v>
      </x:c>
      <x:c r="J182" s="46" t="str">
        <x:v>backend/app/services/graph_fallback.py</x:v>
      </x:c>
      <x:c r="K182" s="46" t="str">
        <x:v>pytest backend/tests/graph/test_fallback.py -q</x:v>
      </x:c>
      <x:c r="L182" s="46" t="str">
        <x:v>잘못된 관계 확답 0건</x:v>
      </x:c>
      <x:c r="M182" s="46" t="str">
        <x:v>Production 쓰기 없음</x:v>
      </x:c>
      <x:c r="N182" s="46" t="str">
        <x:v>미착수</x:v>
      </x:c>
      <x:c r="O182" s="46"/>
      <x:c r="P182" s="46"/>
      <x:c r="Q182" s="46" t="str">
        <x:v>공동 계약 v0.1과 해당 Fixture/Mock 준비</x:v>
      </x:c>
      <x:c r="R182" s="46" t="str">
        <x:v>다른 트랙 결과가 없으면 공동 계약 기반 Mock/Fixture로 진행하고 차단 사유를 기록</x:v>
      </x:c>
    </x:row>
    <x:row r="183" ht="72" customHeight="1">
      <x:c r="A183" s="46" t="str">
        <x:v>14일차</x:v>
      </x:c>
      <x:c r="B183" s="46" t="n">
        <x:v>5</x:v>
      </x:c>
      <x:c r="C183" s="46" t="str">
        <x:v>백엔드·데이터</x:v>
      </x:c>
      <x:c r="D183" s="46" t="str">
        <x:v>D14-BE-05</x:v>
      </x:c>
      <x:c r="E183" s="46" t="str">
        <x:v>관측</x:v>
      </x:c>
      <x:c r="F183" s="46" t="str">
        <x:v>graph path trace·성능 기록</x:v>
      </x:c>
      <x:c r="G183" s="46" t="str">
        <x:v>node/edge IDs, traversal depth, candidate count, latency를 request_id에 연결한다.</x:v>
      </x:c>
      <x:c r="H183" s="46" t="str">
        <x:v>packages/observability/graph_trace.py</x:v>
      </x:c>
      <x:c r="I183" s="46" t="str">
        <x:v>NFR-OBS-001 · 04 §8, 09 §5.4</x:v>
      </x:c>
      <x:c r="J183" s="46" t="str">
        <x:v>packages/observability/graph_trace.py</x:v>
      </x:c>
      <x:c r="K183" s="46" t="str">
        <x:v>pytest backend/tests/observability/test_graph_trace.py -q</x:v>
      </x:c>
      <x:c r="L183" s="46" t="str">
        <x:v>경로 재현 가능</x:v>
      </x:c>
      <x:c r="M183" s="46" t="str">
        <x:v>Production 쓰기 없음</x:v>
      </x:c>
      <x:c r="N183" s="46" t="str">
        <x:v>미착수</x:v>
      </x:c>
      <x:c r="O183" s="46"/>
      <x:c r="P183" s="46"/>
      <x:c r="Q183" s="46" t="str">
        <x:v>공동 계약 v0.1과 해당 Fixture/Mock 준비</x:v>
      </x:c>
      <x:c r="R183" s="46" t="str">
        <x:v>다른 트랙 결과가 없으면 공동 계약 기반 Mock/Fixture로 진행하고 차단 사유를 기록</x:v>
      </x:c>
    </x:row>
    <x:row r="184" ht="72" customHeight="1">
      <x:c r="A184" s="47" t="str">
        <x:v>14일차</x:v>
      </x:c>
      <x:c r="B184" s="47" t="n">
        <x:v>1</x:v>
      </x:c>
      <x:c r="C184" s="47" t="str">
        <x:v>프론트엔드·제품</x:v>
      </x:c>
      <x:c r="D184" s="47" t="str">
        <x:v>D14-FE-01</x:v>
      </x:c>
      <x:c r="E184" s="47" t="str">
        <x:v>경로</x:v>
      </x:c>
      <x:c r="F184" s="47" t="str">
        <x:v>상품관계 경로 표시</x:v>
      </x:c>
      <x:c r="G184" s="47" t="str">
        <x:v>복잡한 그래프 그림 대신 질문에 필요한 2~4단계 경로와 관계명을 표로 표시한다.</x:v>
      </x:c>
      <x:c r="H184" s="47" t="str">
        <x:v>frontend/src/features/evidence/RelationPath.tsx</x:v>
      </x:c>
      <x:c r="I184" s="47" t="str">
        <x:v>07 §5 · 04 §8, 09 §5.4</x:v>
      </x:c>
      <x:c r="J184" s="47" t="str">
        <x:v>frontend/src/features/evidence/RelationPath.tsx</x:v>
      </x:c>
      <x:c r="K184" s="47" t="str">
        <x:v>npm --prefix frontend test -- RelationPath</x:v>
      </x:c>
      <x:c r="L184" s="47" t="str">
        <x:v>방향·근거·판본 표시</x:v>
      </x:c>
      <x:c r="M184" s="47" t="str">
        <x:v>Production 쓰기 없음</x:v>
      </x:c>
      <x:c r="N184" s="47" t="str">
        <x:v>미착수</x:v>
      </x:c>
      <x:c r="O184" s="47"/>
      <x:c r="P184" s="47"/>
      <x:c r="Q184" s="47" t="str">
        <x:v>공동 계약 v0.1과 해당 Fixture/Mock 준비</x:v>
      </x:c>
      <x:c r="R184" s="47" t="str">
        <x:v>다른 트랙 결과가 없으면 공동 계약 기반 Mock/Fixture로 진행하고 차단 사유를 기록</x:v>
      </x:c>
    </x:row>
    <x:row r="185" ht="72" customHeight="1">
      <x:c r="A185" s="47" t="str">
        <x:v>14일차</x:v>
      </x:c>
      <x:c r="B185" s="47" t="n">
        <x:v>2</x:v>
      </x:c>
      <x:c r="C185" s="47" t="str">
        <x:v>프론트엔드·제품</x:v>
      </x:c>
      <x:c r="D185" s="47" t="str">
        <x:v>D14-FE-02</x:v>
      </x:c>
      <x:c r="E185" s="47" t="str">
        <x:v>Fallback</x:v>
      </x:c>
      <x:c r="F185" s="47" t="str">
        <x:v>Graph 사용·미사용 이유 표시</x:v>
      </x:c>
      <x:c r="G185" s="47" t="str">
        <x:v>SQL/RAG/Graph 중 어떤 방법을 썼는지 기술명이 아닌 근거 유형으로 설명한다.</x:v>
      </x:c>
      <x:c r="H185" s="47" t="str">
        <x:v>frontend/src/features/evidence/MethodLabel.tsx</x:v>
      </x:c>
      <x:c r="I185" s="47" t="str">
        <x:v>FR-AI-001 · 04 §8, 09 §5.4</x:v>
      </x:c>
      <x:c r="J185" s="47" t="str">
        <x:v>frontend/src/features/evidence/MethodLabel.tsx</x:v>
      </x:c>
      <x:c r="K185" s="47" t="str">
        <x:v>npm --prefix frontend test -- MethodLabel</x:v>
      </x:c>
      <x:c r="L185" s="47" t="str">
        <x:v>사용자용 한국어 설명</x:v>
      </x:c>
      <x:c r="M185" s="47" t="str">
        <x:v>Production 쓰기 없음</x:v>
      </x:c>
      <x:c r="N185" s="47" t="str">
        <x:v>미착수</x:v>
      </x:c>
      <x:c r="O185" s="47"/>
      <x:c r="P185" s="47"/>
      <x:c r="Q185" s="47" t="str">
        <x:v>공동 계약 v0.1과 해당 Fixture/Mock 준비</x:v>
      </x:c>
      <x:c r="R185" s="47" t="str">
        <x:v>다른 트랙 결과가 없으면 공동 계약 기반 Mock/Fixture로 진행하고 차단 사유를 기록</x:v>
      </x:c>
    </x:row>
    <x:row r="186" ht="72" customHeight="1">
      <x:c r="A186" s="47" t="str">
        <x:v>14일차</x:v>
      </x:c>
      <x:c r="B186" s="47" t="n">
        <x:v>3</x:v>
      </x:c>
      <x:c r="C186" s="47" t="str">
        <x:v>프론트엔드·제품</x:v>
      </x:c>
      <x:c r="D186" s="47" t="str">
        <x:v>D14-FE-03</x:v>
      </x:c>
      <x:c r="E186" s="47" t="str">
        <x:v>성능</x:v>
      </x:c>
      <x:c r="F186" s="47" t="str">
        <x:v>느린 관계질의 loading·timeout UX</x:v>
      </x:c>
      <x:c r="G186" s="47" t="str">
        <x:v>진행중, 제한시간 초과, 부분근거 상태를 구분한다.</x:v>
      </x:c>
      <x:c r="H186" s="47" t="str">
        <x:v>frontend/src/features/products/RelationQueryState.tsx</x:v>
      </x:c>
      <x:c r="I186" s="47" t="str">
        <x:v>07 §13 · 04 §8, 09 §5.4</x:v>
      </x:c>
      <x:c r="J186" s="47" t="str">
        <x:v>frontend/src/features/products/RelationQueryState.tsx</x:v>
      </x:c>
      <x:c r="K186" s="47" t="str">
        <x:v>npm --prefix frontend test -- RelationQueryState</x:v>
      </x:c>
      <x:c r="L186" s="47" t="str">
        <x:v>UI freeze 없음</x:v>
      </x:c>
      <x:c r="M186" s="47" t="str">
        <x:v>Production 쓰기 없음</x:v>
      </x:c>
      <x:c r="N186" s="47" t="str">
        <x:v>미착수</x:v>
      </x:c>
      <x:c r="O186" s="47"/>
      <x:c r="P186" s="47"/>
      <x:c r="Q186" s="47" t="str">
        <x:v>공동 계약 v0.1과 해당 Fixture/Mock 준비</x:v>
      </x:c>
      <x:c r="R186" s="47" t="str">
        <x:v>다른 트랙 결과가 없으면 공동 계약 기반 Mock/Fixture로 진행하고 차단 사유를 기록</x:v>
      </x:c>
    </x:row>
    <x:row r="187" ht="72" customHeight="1">
      <x:c r="A187" s="45" t="str">
        <x:v>15일차</x:v>
      </x:c>
      <x:c r="B187" s="45" t="n">
        <x:v>1</x:v>
      </x:c>
      <x:c r="C187" s="45" t="str">
        <x:v>AI·ML</x:v>
      </x:c>
      <x:c r="D187" s="45" t="str">
        <x:v>D15-AI-01</x:v>
      </x:c>
      <x:c r="E187" s="45" t="str">
        <x:v>상태</x:v>
      </x:c>
      <x:c r="F187" s="45" t="str">
        <x:v>ConversationState schema 구현</x:v>
      </x:c>
      <x:c r="G187" s="45" t="str">
        <x:v>session/thread, current intent/entities, summary, evidence refs, risk, token budget, checkpoint를 명시한다.</x:v>
      </x:c>
      <x:c r="H187" s="45" t="str">
        <x:v>ai/memory/state.py</x:v>
      </x:c>
      <x:c r="I187" s="45" t="str">
        <x:v>MEM-01 · 04 §6·9, 05 §8, 09 §5.5~6</x:v>
      </x:c>
      <x:c r="J187" s="45" t="str">
        <x:v>ai/memory/state.py</x:v>
      </x:c>
      <x:c r="K187" s="45" t="str">
        <x:v>pytest ai/tests/memory/test_state_schema.py -q</x:v>
      </x:c>
      <x:c r="L187" s="45" t="str">
        <x:v>필수 상태와 version 검증</x:v>
      </x:c>
      <x:c r="M187" s="45" t="str">
        <x:v>Production 쓰기 없음</x:v>
      </x:c>
      <x:c r="N187" s="45" t="str">
        <x:v>미착수</x:v>
      </x:c>
      <x:c r="O187" s="45"/>
      <x:c r="P187" s="45"/>
      <x:c r="Q187" s="45" t="str">
        <x:v>공동 계약 v0.1과 해당 Fixture/Mock 준비</x:v>
      </x:c>
      <x:c r="R187" s="45" t="str">
        <x:v>다른 트랙 결과가 없으면 공동 계약 기반 Mock/Fixture로 진행하고 차단 사유를 기록</x:v>
      </x:c>
    </x:row>
    <x:row r="188" ht="72" customHeight="1">
      <x:c r="A188" s="45" t="str">
        <x:v>15일차</x:v>
      </x:c>
      <x:c r="B188" s="45" t="n">
        <x:v>2</x:v>
      </x:c>
      <x:c r="C188" s="45" t="str">
        <x:v>AI·ML</x:v>
      </x:c>
      <x:c r="D188" s="45" t="str">
        <x:v>D15-AI-02</x:v>
      </x:c>
      <x:c r="E188" s="45" t="str">
        <x:v>요약</x:v>
      </x:c>
      <x:c r="F188" s="45" t="str">
        <x:v>대화 요약 갱신기</x:v>
      </x:c>
      <x:c r="G188" s="45" t="str">
        <x:v>결정·확정 entity·미해결 질문만 남기고 PII와 추측을 보존하지 않는다.</x:v>
      </x:c>
      <x:c r="H188" s="45" t="str">
        <x:v>ai/memory/summarizer.py</x:v>
      </x:c>
      <x:c r="I188" s="45" t="str">
        <x:v>04 §6.2 · 04 §6·9, 05 §8, 09 §5.5~6</x:v>
      </x:c>
      <x:c r="J188" s="45" t="str">
        <x:v>ai/memory/summarizer.py</x:v>
      </x:c>
      <x:c r="K188" s="45" t="str">
        <x:v>pytest ai/tests/memory/test_summarizer.py -q</x:v>
      </x:c>
      <x:c r="L188" s="45" t="str">
        <x:v>사실보존·PII 제거·토큰 감소</x:v>
      </x:c>
      <x:c r="M188" s="45" t="str">
        <x:v>Production 쓰기 없음</x:v>
      </x:c>
      <x:c r="N188" s="45" t="str">
        <x:v>미착수</x:v>
      </x:c>
      <x:c r="O188" s="45"/>
      <x:c r="P188" s="45"/>
      <x:c r="Q188" s="45" t="str">
        <x:v>공동 계약 v0.1과 해당 Fixture/Mock 준비</x:v>
      </x:c>
      <x:c r="R188" s="45" t="str">
        <x:v>다른 트랙 결과가 없으면 공동 계약 기반 Mock/Fixture로 진행하고 차단 사유를 기록</x:v>
      </x:c>
    </x:row>
    <x:row r="189" ht="72" customHeight="1">
      <x:c r="A189" s="45" t="str">
        <x:v>15일차</x:v>
      </x:c>
      <x:c r="B189" s="45" t="n">
        <x:v>3</x:v>
      </x:c>
      <x:c r="C189" s="45" t="str">
        <x:v>AI·ML</x:v>
      </x:c>
      <x:c r="D189" s="45" t="str">
        <x:v>D15-AI-03</x:v>
      </x:c>
      <x:c r="E189" s="45" t="str">
        <x:v>검색</x:v>
      </x:c>
      <x:c r="F189" s="45" t="str">
        <x:v>Relevant history retrieval</x:v>
      </x:c>
      <x:c r="G189" s="45" t="str">
        <x:v>현재 질문과 관련된 이전 turn/evidence만 session 범위에서 top-k로 가져온다.</x:v>
      </x:c>
      <x:c r="H189" s="45" t="str">
        <x:v>ai/memory/history_retriever.py</x:v>
      </x:c>
      <x:c r="I189" s="45" t="str">
        <x:v>04 §6.2 · 04 §6·9, 05 §8, 09 §5.5~6</x:v>
      </x:c>
      <x:c r="J189" s="45" t="str">
        <x:v>ai/memory/history_retriever.py</x:v>
      </x:c>
      <x:c r="K189" s="45" t="str">
        <x:v>pytest ai/tests/memory/test_history_retrieval.py -q</x:v>
      </x:c>
      <x:c r="L189" s="45" t="str">
        <x:v>다른 session 혼입 0건</x:v>
      </x:c>
      <x:c r="M189" s="45" t="str">
        <x:v>Production 쓰기 없음</x:v>
      </x:c>
      <x:c r="N189" s="45" t="str">
        <x:v>미착수</x:v>
      </x:c>
      <x:c r="O189" s="45"/>
      <x:c r="P189" s="45"/>
      <x:c r="Q189" s="45" t="str">
        <x:v>공동 계약 v0.1과 해당 Fixture/Mock 준비</x:v>
      </x:c>
      <x:c r="R189" s="45" t="str">
        <x:v>다른 트랙 결과가 없으면 공동 계약 기반 Mock/Fixture로 진행하고 차단 사유를 기록</x:v>
      </x:c>
    </x:row>
    <x:row r="190" ht="72" customHeight="1">
      <x:c r="A190" s="45" t="str">
        <x:v>15일차</x:v>
      </x:c>
      <x:c r="B190" s="45" t="n">
        <x:v>4</x:v>
      </x:c>
      <x:c r="C190" s="45" t="str">
        <x:v>AI·ML</x:v>
      </x:c>
      <x:c r="D190" s="45" t="str">
        <x:v>D15-AI-04</x:v>
      </x:c>
      <x:c r="E190" s="45" t="str">
        <x:v>비교</x:v>
      </x:c>
      <x:c r="F190" s="45" t="str">
        <x:v>Full context vs selective memory</x:v>
      </x:c>
      <x:c r="G190" s="45" t="str">
        <x:v>20-turn 시나리오에서 답 정확도, entity 유지, token, latency, cost를 비교한다.</x:v>
      </x:c>
      <x:c r="H190" s="45" t="str">
        <x:v>artifacts/experiments/MEM-01/result.json</x:v>
      </x:c>
      <x:c r="I190" s="45" t="str">
        <x:v>09 §5.5 · 04 §6·9, 05 §8, 09 §5.5~6</x:v>
      </x:c>
      <x:c r="J190" s="45" t="str">
        <x:v>artifacts/experiments/MEM-01/result.json</x:v>
      </x:c>
      <x:c r="K190" s="45" t="str">
        <x:v>make eval-memory EXP=MEM-01</x:v>
      </x:c>
      <x:c r="L190" s="45" t="str">
        <x:v>품질 허용범위·토큰 절감률</x:v>
      </x:c>
      <x:c r="M190" s="45" t="str">
        <x:v>Production 쓰기 없음</x:v>
      </x:c>
      <x:c r="N190" s="45" t="str">
        <x:v>미착수</x:v>
      </x:c>
      <x:c r="O190" s="45"/>
      <x:c r="P190" s="45"/>
      <x:c r="Q190" s="45" t="str">
        <x:v>공동 계약 v0.1과 해당 Fixture/Mock 준비</x:v>
      </x:c>
      <x:c r="R190" s="45" t="str">
        <x:v>다른 트랙 결과가 없으면 공동 계약 기반 Mock/Fixture로 진행하고 차단 사유를 기록</x:v>
      </x:c>
    </x:row>
    <x:row r="191" ht="72" customHeight="1">
      <x:c r="A191" s="45" t="str">
        <x:v>15일차</x:v>
      </x:c>
      <x:c r="B191" s="45" t="n">
        <x:v>5</x:v>
      </x:c>
      <x:c r="C191" s="45" t="str">
        <x:v>AI·ML</x:v>
      </x:c>
      <x:c r="D191" s="45" t="str">
        <x:v>D15-AI-05</x:v>
      </x:c>
      <x:c r="E191" s="45" t="str">
        <x:v>판정</x:v>
      </x:c>
      <x:c r="F191" s="45" t="str">
        <x:v>메모리 사용 범위 결정</x:v>
      </x:c>
      <x:c r="G191" s="45" t="str">
        <x:v>단일턴 운영계산에는 사용하지 않고 문의·운영 Agent 연속 대화에만 채택 여부를 기록한다.</x:v>
      </x:c>
      <x:c r="H191" s="45" t="str">
        <x:v>artifacts/experiments/MEM-01/decision.md</x:v>
      </x:c>
      <x:c r="I191" s="45" t="str">
        <x:v>04 §6 · 04 §6·9, 05 §8, 09 §5.5~6</x:v>
      </x:c>
      <x:c r="J191" s="45" t="str">
        <x:v>artifacts/experiments/MEM-01/decision.md</x:v>
      </x:c>
      <x:c r="K191" s="45" t="str">
        <x:v>make eval-report EXP=MEM-01</x:v>
      </x:c>
      <x:c r="L191" s="45" t="str">
        <x:v>사용·미사용 이유</x:v>
      </x:c>
      <x:c r="M191" s="45" t="str">
        <x:v>Production 쓰기 없음</x:v>
      </x:c>
      <x:c r="N191" s="45" t="str">
        <x:v>미착수</x:v>
      </x:c>
      <x:c r="O191" s="45"/>
      <x:c r="P191" s="45"/>
      <x:c r="Q191" s="45" t="str">
        <x:v>공동 계약 v0.1과 해당 Fixture/Mock 준비</x:v>
      </x:c>
      <x:c r="R191" s="45" t="str">
        <x:v>다른 트랙 결과가 없으면 공동 계약 기반 Mock/Fixture로 진행하고 차단 사유를 기록</x:v>
      </x:c>
    </x:row>
    <x:row r="192" ht="72" customHeight="1">
      <x:c r="A192" s="46" t="str">
        <x:v>15일차</x:v>
      </x:c>
      <x:c r="B192" s="46" t="n">
        <x:v>1</x:v>
      </x:c>
      <x:c r="C192" s="46" t="str">
        <x:v>백엔드·데이터</x:v>
      </x:c>
      <x:c r="D192" s="46" t="str">
        <x:v>D15-BE-01</x:v>
      </x:c>
      <x:c r="E192" s="46" t="str">
        <x:v>상태</x:v>
      </x:c>
      <x:c r="F192" s="46" t="str">
        <x:v>AgentRun·checkpoint repository</x:v>
      </x:c>
      <x:c r="G192" s="46" t="str">
        <x:v>thread_id, state_version, node, retry_count, model, prompt, cost, status를 저장한다.</x:v>
      </x:c>
      <x:c r="H192" s="46" t="str">
        <x:v>backend/app/repositories/agent_runs.py</x:v>
      </x:c>
      <x:c r="I192" s="46" t="str">
        <x:v>FR-AI-003 · 04 §6·9, 05 §8, 09 §5.5~6</x:v>
      </x:c>
      <x:c r="J192" s="46" t="str">
        <x:v>backend/app/repositories/agent_runs.py</x:v>
      </x:c>
      <x:c r="K192" s="46" t="str">
        <x:v>pytest backend/tests/agents/test_checkpoint_repository.py -q</x:v>
      </x:c>
      <x:c r="L192" s="46" t="str">
        <x:v>save/load/version migration 통과</x:v>
      </x:c>
      <x:c r="M192" s="46" t="str">
        <x:v>Production 쓰기 없음</x:v>
      </x:c>
      <x:c r="N192" s="46" t="str">
        <x:v>미착수</x:v>
      </x:c>
      <x:c r="O192" s="46"/>
      <x:c r="P192" s="46"/>
      <x:c r="Q192" s="46" t="str">
        <x:v>공동 계약 v0.1과 해당 Fixture/Mock 준비</x:v>
      </x:c>
      <x:c r="R192" s="46" t="str">
        <x:v>다른 트랙 결과가 없으면 공동 계약 기반 Mock/Fixture로 진행하고 차단 사유를 기록</x:v>
      </x:c>
    </x:row>
    <x:row r="193" ht="72" customHeight="1">
      <x:c r="A193" s="46" t="str">
        <x:v>15일차</x:v>
      </x:c>
      <x:c r="B193" s="46" t="n">
        <x:v>2</x:v>
      </x:c>
      <x:c r="C193" s="46" t="str">
        <x:v>백엔드·데이터</x:v>
      </x:c>
      <x:c r="D193" s="46" t="str">
        <x:v>D15-BE-02</x:v>
      </x:c>
      <x:c r="E193" s="46" t="str">
        <x:v>재개</x:v>
      </x:c>
      <x:c r="F193" s="46" t="str">
        <x:v>동일 thread state resume API</x:v>
      </x:c>
      <x:c r="G193" s="46" t="str">
        <x:v>중단된 run만 재개하고 완료·취소·만료 run의 중복 실행을 막는다.</x:v>
      </x:c>
      <x:c r="H193" s="46" t="str">
        <x:v>backend/app/routes/agent_runs.py</x:v>
      </x:c>
      <x:c r="I193" s="46" t="str">
        <x:v>FR-AI-003 · 04 §6·9, 05 §8, 09 §5.5~6</x:v>
      </x:c>
      <x:c r="J193" s="46" t="str">
        <x:v>backend/app/routes/agent_runs.py</x:v>
      </x:c>
      <x:c r="K193" s="46" t="str">
        <x:v>pytest backend/tests/api/test_agent_resume.py -q</x:v>
      </x:c>
      <x:c r="L193" s="46" t="str">
        <x:v>재개 후 다음 node부터 실행</x:v>
      </x:c>
      <x:c r="M193" s="46" t="str">
        <x:v>Production 쓰기 없음</x:v>
      </x:c>
      <x:c r="N193" s="46" t="str">
        <x:v>미착수</x:v>
      </x:c>
      <x:c r="O193" s="46"/>
      <x:c r="P193" s="46"/>
      <x:c r="Q193" s="46" t="str">
        <x:v>공동 계약 v0.1과 해당 Fixture/Mock 준비</x:v>
      </x:c>
      <x:c r="R193" s="46" t="str">
        <x:v>다른 트랙 결과가 없으면 공동 계약 기반 Mock/Fixture로 진행하고 차단 사유를 기록</x:v>
      </x:c>
    </x:row>
    <x:row r="194" ht="72" customHeight="1">
      <x:c r="A194" s="46" t="str">
        <x:v>15일차</x:v>
      </x:c>
      <x:c r="B194" s="46" t="n">
        <x:v>3</x:v>
      </x:c>
      <x:c r="C194" s="46" t="str">
        <x:v>백엔드·데이터</x:v>
      </x:c>
      <x:c r="D194" s="46" t="str">
        <x:v>D15-BE-03</x:v>
      </x:c>
      <x:c r="E194" s="46" t="str">
        <x:v>감사</x:v>
      </x:c>
      <x:c r="F194" s="46" t="str">
        <x:v>append-only AuditEvent 구현</x:v>
      </x:c>
      <x:c r="G194" s="46" t="str">
        <x:v>actor/action/target/before/after/policy/outcome/correlation을 변경 불가로 저장한다.</x:v>
      </x:c>
      <x:c r="H194" s="46" t="str">
        <x:v>backend/app/models/audit.py</x:v>
      </x:c>
      <x:c r="I194" s="46" t="str">
        <x:v>06 §11 · 04 §6·9, 05 §8, 09 §5.5~6</x:v>
      </x:c>
      <x:c r="J194" s="46" t="str">
        <x:v>backend/app/models/audit.py</x:v>
      </x:c>
      <x:c r="K194" s="46" t="str">
        <x:v>pytest backend/tests/audit/test_append_only.py -q</x:v>
      </x:c>
      <x:c r="L194" s="46" t="str">
        <x:v>update/delete 거부</x:v>
      </x:c>
      <x:c r="M194" s="46" t="str">
        <x:v>Production 쓰기 없음</x:v>
      </x:c>
      <x:c r="N194" s="46" t="str">
        <x:v>미착수</x:v>
      </x:c>
      <x:c r="O194" s="46"/>
      <x:c r="P194" s="46"/>
      <x:c r="Q194" s="46" t="str">
        <x:v>공동 계약 v0.1과 해당 Fixture/Mock 준비</x:v>
      </x:c>
      <x:c r="R194" s="46" t="str">
        <x:v>다른 트랙 결과가 없으면 공동 계약 기반 Mock/Fixture로 진행하고 차단 사유를 기록</x:v>
      </x:c>
    </x:row>
    <x:row r="195" ht="72" customHeight="1">
      <x:c r="A195" s="46" t="str">
        <x:v>15일차</x:v>
      </x:c>
      <x:c r="B195" s="46" t="n">
        <x:v>4</x:v>
      </x:c>
      <x:c r="C195" s="46" t="str">
        <x:v>백엔드·데이터</x:v>
      </x:c>
      <x:c r="D195" s="46" t="str">
        <x:v>D15-BE-04</x:v>
      </x:c>
      <x:c r="E195" s="46" t="str">
        <x:v>보존</x:v>
      </x:c>
      <x:c r="F195" s="46" t="str">
        <x:v>대화·checkpoint 보존·삭제 정책</x:v>
      </x:c>
      <x:c r="G195" s="46" t="str">
        <x:v>PII 없는 요약과 raw conversation의 다른 보존기간·삭제 job을 구현한다.</x:v>
      </x:c>
      <x:c r="H195" s="46" t="str">
        <x:v>backend/app/worker/privacy/retention.py</x:v>
      </x:c>
      <x:c r="I195" s="46" t="str">
        <x:v>06 §9.3 · 04 §6·9, 05 §8, 09 §5.5~6</x:v>
      </x:c>
      <x:c r="J195" s="46" t="str">
        <x:v>backend/app/worker/privacy/retention.py</x:v>
      </x:c>
      <x:c r="K195" s="46" t="str">
        <x:v>pytest backend/tests/privacy/test_retention.py -q</x:v>
      </x:c>
      <x:c r="L195" s="46" t="str">
        <x:v>만료 데이터 제거·audit 보존</x:v>
      </x:c>
      <x:c r="M195" s="46" t="str">
        <x:v>Production 쓰기 없음</x:v>
      </x:c>
      <x:c r="N195" s="46" t="str">
        <x:v>미착수</x:v>
      </x:c>
      <x:c r="O195" s="46"/>
      <x:c r="P195" s="46"/>
      <x:c r="Q195" s="46" t="str">
        <x:v>공동 계약 v0.1과 해당 Fixture/Mock 준비</x:v>
      </x:c>
      <x:c r="R195" s="46" t="str">
        <x:v>다른 트랙 결과가 없으면 공동 계약 기반 Mock/Fixture로 진행하고 차단 사유를 기록</x:v>
      </x:c>
    </x:row>
    <x:row r="196" ht="72" customHeight="1">
      <x:c r="A196" s="46" t="str">
        <x:v>15일차</x:v>
      </x:c>
      <x:c r="B196" s="46" t="n">
        <x:v>5</x:v>
      </x:c>
      <x:c r="C196" s="46" t="str">
        <x:v>백엔드·데이터</x:v>
      </x:c>
      <x:c r="D196" s="46" t="str">
        <x:v>D15-BE-05</x:v>
      </x:c>
      <x:c r="E196" s="46" t="str">
        <x:v>계약</x:v>
      </x:c>
      <x:c r="F196" s="46" t="str">
        <x:v>Agent state API 계약 snapshot</x:v>
      </x:c>
      <x:c r="G196" s="46" t="str">
        <x:v>AI와 화면이 동일 state status/reason/checkpoint 필드를 쓰게 한다.</x:v>
      </x:c>
      <x:c r="H196" s="46" t="str">
        <x:v>contracts/agent_state.schema.json</x:v>
      </x:c>
      <x:c r="I196" s="46" t="str">
        <x:v>05 §8 · 04 §6·9, 05 §8, 09 §5.5~6</x:v>
      </x:c>
      <x:c r="J196" s="46" t="str">
        <x:v>contracts/agent_state.schema.json</x:v>
      </x:c>
      <x:c r="K196" s="46" t="str">
        <x:v>make contract-test</x:v>
      </x:c>
      <x:c r="L196" s="46" t="str">
        <x:v>breaking diff 0건</x:v>
      </x:c>
      <x:c r="M196" s="46" t="str">
        <x:v>Production 쓰기 없음</x:v>
      </x:c>
      <x:c r="N196" s="46" t="str">
        <x:v>미착수</x:v>
      </x:c>
      <x:c r="O196" s="46"/>
      <x:c r="P196" s="46"/>
      <x:c r="Q196" s="46" t="str">
        <x:v>공동 계약 v0.1과 해당 Fixture/Mock 준비</x:v>
      </x:c>
      <x:c r="R196" s="46" t="str">
        <x:v>다른 트랙 결과가 없으면 공동 계약 기반 Mock/Fixture로 진행하고 차단 사유를 기록</x:v>
      </x:c>
    </x:row>
    <x:row r="197" ht="72" customHeight="1">
      <x:c r="A197" s="47" t="str">
        <x:v>15일차</x:v>
      </x:c>
      <x:c r="B197" s="47" t="n">
        <x:v>1</x:v>
      </x:c>
      <x:c r="C197" s="47" t="str">
        <x:v>프론트엔드·제품</x:v>
      </x:c>
      <x:c r="D197" s="47" t="str">
        <x:v>D15-FE-01</x:v>
      </x:c>
      <x:c r="E197" s="47" t="str">
        <x:v>대화</x:v>
      </x:c>
      <x:c r="F197" s="47" t="str">
        <x:v>session/thread별 문의 대화 UI</x:v>
      </x:c>
      <x:c r="G197" s="47" t="str">
        <x:v>이전 전체 내용이 아닌 선택된 요약·관련 근거를 별도 영역으로 보여준다.</x:v>
      </x:c>
      <x:c r="H197" s="47" t="str">
        <x:v>frontend/src/features/inquiries/ConversationPanel.tsx</x:v>
      </x:c>
      <x:c r="I197" s="47" t="str">
        <x:v>07 §7 · 04 §6·9, 05 §8, 09 §5.5~6</x:v>
      </x:c>
      <x:c r="J197" s="47" t="str">
        <x:v>frontend/src/features/inquiries/ConversationPanel.tsx</x:v>
      </x:c>
      <x:c r="K197" s="47" t="str">
        <x:v>npm --prefix frontend test -- ConversationPanel</x:v>
      </x:c>
      <x:c r="L197" s="47" t="str">
        <x:v>session 격리·관련 근거 표시</x:v>
      </x:c>
      <x:c r="M197" s="47" t="str">
        <x:v>Production 쓰기 없음</x:v>
      </x:c>
      <x:c r="N197" s="47" t="str">
        <x:v>미착수</x:v>
      </x:c>
      <x:c r="O197" s="47"/>
      <x:c r="P197" s="47"/>
      <x:c r="Q197" s="47" t="str">
        <x:v>공동 계약 v0.1과 해당 Fixture/Mock 준비</x:v>
      </x:c>
      <x:c r="R197" s="47" t="str">
        <x:v>다른 트랙 결과가 없으면 공동 계약 기반 Mock/Fixture로 진행하고 차단 사유를 기록</x:v>
      </x:c>
    </x:row>
    <x:row r="198" ht="72" customHeight="1">
      <x:c r="A198" s="47" t="str">
        <x:v>15일차</x:v>
      </x:c>
      <x:c r="B198" s="47" t="n">
        <x:v>2</x:v>
      </x:c>
      <x:c r="C198" s="47" t="str">
        <x:v>프론트엔드·제품</x:v>
      </x:c>
      <x:c r="D198" s="47" t="str">
        <x:v>D15-FE-02</x:v>
      </x:c>
      <x:c r="E198" s="47" t="str">
        <x:v>재개</x:v>
      </x:c>
      <x:c r="F198" s="47" t="str">
        <x:v>중단·재개 상태 UX</x:v>
      </x:c>
      <x:c r="G198" s="47" t="str">
        <x:v>timeout/paused/review_required에서 재개 가능 조건과 마지막 안전 지점을 표시한다.</x:v>
      </x:c>
      <x:c r="H198" s="47" t="str">
        <x:v>frontend/src/features/agents/ResumePanel.tsx</x:v>
      </x:c>
      <x:c r="I198" s="47" t="str">
        <x:v>FR-AI-003 · 04 §6·9, 05 §8, 09 §5.5~6</x:v>
      </x:c>
      <x:c r="J198" s="47" t="str">
        <x:v>frontend/src/features/agents/ResumePanel.tsx</x:v>
      </x:c>
      <x:c r="K198" s="47" t="str">
        <x:v>npm --prefix frontend test -- ResumePanel</x:v>
      </x:c>
      <x:c r="L198" s="47" t="str">
        <x:v>완료 run 재개 버튼 없음</x:v>
      </x:c>
      <x:c r="M198" s="47" t="str">
        <x:v>Production 쓰기 없음</x:v>
      </x:c>
      <x:c r="N198" s="47" t="str">
        <x:v>미착수</x:v>
      </x:c>
      <x:c r="O198" s="47"/>
      <x:c r="P198" s="47"/>
      <x:c r="Q198" s="47" t="str">
        <x:v>공동 계약 v0.1과 해당 Fixture/Mock 준비</x:v>
      </x:c>
      <x:c r="R198" s="47" t="str">
        <x:v>다른 트랙 결과가 없으면 공동 계약 기반 Mock/Fixture로 진행하고 차단 사유를 기록</x:v>
      </x:c>
    </x:row>
    <x:row r="199" ht="72" customHeight="1">
      <x:c r="A199" s="47" t="str">
        <x:v>15일차</x:v>
      </x:c>
      <x:c r="B199" s="47" t="n">
        <x:v>3</x:v>
      </x:c>
      <x:c r="C199" s="47" t="str">
        <x:v>프론트엔드·제품</x:v>
      </x:c>
      <x:c r="D199" s="47" t="str">
        <x:v>D15-FE-03</x:v>
      </x:c>
      <x:c r="E199" s="47" t="str">
        <x:v>비용</x:v>
      </x:c>
      <x:c r="F199" s="47" t="str">
        <x:v>선택적 메모리 token 비교 표시</x:v>
      </x:c>
      <x:c r="G199" s="47" t="str">
        <x:v>Demo 평가 화면에서 full/selective 평균 token과 품질 결과를 비교한다.</x:v>
      </x:c>
      <x:c r="H199" s="47" t="str">
        <x:v>frontend/src/features/evaluation/MemoryComparison.tsx</x:v>
      </x:c>
      <x:c r="I199" s="47" t="str">
        <x:v>MEM-01 · 04 §6·9, 05 §8, 09 §5.5~6</x:v>
      </x:c>
      <x:c r="J199" s="47" t="str">
        <x:v>frontend/src/features/evaluation/MemoryComparison.tsx</x:v>
      </x:c>
      <x:c r="K199" s="47" t="str">
        <x:v>npm --prefix frontend test -- MemoryComparison</x:v>
      </x:c>
      <x:c r="L199" s="47" t="str">
        <x:v>실험 결과 JSON과 값 일치</x:v>
      </x:c>
      <x:c r="M199" s="47" t="str">
        <x:v>Production 쓰기 없음</x:v>
      </x:c>
      <x:c r="N199" s="47" t="str">
        <x:v>미착수</x:v>
      </x:c>
      <x:c r="O199" s="47"/>
      <x:c r="P199" s="47"/>
      <x:c r="Q199" s="47" t="str">
        <x:v>공동 계약 v0.1과 해당 Fixture/Mock 준비</x:v>
      </x:c>
      <x:c r="R199" s="47" t="str">
        <x:v>다른 트랙 결과가 없으면 공동 계약 기반 Mock/Fixture로 진행하고 차단 사유를 기록</x:v>
      </x:c>
    </x:row>
    <x:row r="200" ht="72" customHeight="1">
      <x:c r="A200" s="45" t="str">
        <x:v>16일차</x:v>
      </x:c>
      <x:c r="B200" s="45" t="n">
        <x:v>1</x:v>
      </x:c>
      <x:c r="C200" s="45" t="str">
        <x:v>AI·ML</x:v>
      </x:c>
      <x:c r="D200" s="45" t="str">
        <x:v>D16-AI-01</x:v>
      </x:c>
      <x:c r="E200" s="45" t="str">
        <x:v>통합</x:v>
      </x:c>
      <x:c r="F200" s="45" t="str">
        <x:v>관계문의 Graph-aware E2E</x:v>
      </x:c>
      <x:c r="G200" s="45" t="str">
        <x:v>확장팩 독립플레이 질문을 entity resolution→graph path→문서근거→초안으로 실행한다.</x:v>
      </x:c>
      <x:c r="H200" s="45" t="str">
        <x:v>artifacts/integration/day16/graph_inquiry.json</x:v>
      </x:c>
      <x:c r="I200" s="45" t="str">
        <x:v>GRAPH-01 · 04 §6·8·9, 06, 09 Day 16</x:v>
      </x:c>
      <x:c r="J200" s="45" t="str">
        <x:v>artifacts/integration/day16/graph_inquiry.json</x:v>
      </x:c>
      <x:c r="K200" s="45" t="str">
        <x:v>make eval-scenario SCENARIO=graph_inquiry</x:v>
      </x:c>
      <x:c r="L200" s="45" t="str">
        <x:v>정답 path·citation·route·cost</x:v>
      </x:c>
      <x:c r="M200" s="45" t="str">
        <x:v>Production 쓰기 없음</x:v>
      </x:c>
      <x:c r="N200" s="45" t="str">
        <x:v>미착수</x:v>
      </x:c>
      <x:c r="O200" s="45"/>
      <x:c r="P200" s="45"/>
      <x:c r="Q200" s="45" t="str">
        <x:v>공동 계약 v0.1과 해당 Fixture/Mock 준비</x:v>
      </x:c>
      <x:c r="R200" s="45" t="str">
        <x:v>다른 트랙 결과가 없으면 공동 계약 기반 Mock/Fixture로 진행하고 차단 사유를 기록</x:v>
      </x:c>
    </x:row>
    <x:row r="201" ht="72" customHeight="1">
      <x:c r="A201" s="45" t="str">
        <x:v>16일차</x:v>
      </x:c>
      <x:c r="B201" s="45" t="n">
        <x:v>2</x:v>
      </x:c>
      <x:c r="C201" s="45" t="str">
        <x:v>AI·ML</x:v>
      </x:c>
      <x:c r="D201" s="45" t="str">
        <x:v>D16-AI-02</x:v>
      </x:c>
      <x:c r="E201" s="45" t="str">
        <x:v>통합</x:v>
      </x:c>
      <x:c r="F201" s="45" t="str">
        <x:v>3-turn selective memory E2E</x:v>
      </x:c>
      <x:c r="G201" s="45" t="str">
        <x:v>상품을 정정하고 후속 재고·호환 질문을 하는 대화에서 관련 context만 사용한다.</x:v>
      </x:c>
      <x:c r="H201" s="45" t="str">
        <x:v>artifacts/integration/day16/memory_thread.json</x:v>
      </x:c>
      <x:c r="I201" s="45" t="str">
        <x:v>MEM-01 · 04 §6·8·9, 06, 09 Day 16</x:v>
      </x:c>
      <x:c r="J201" s="45" t="str">
        <x:v>artifacts/integration/day16/memory_thread.json</x:v>
      </x:c>
      <x:c r="K201" s="45" t="str">
        <x:v>make eval-scenario SCENARIO=memory_thread</x:v>
      </x:c>
      <x:c r="L201" s="45" t="str">
        <x:v>entity 유지·token·다른 session 혼입 0</x:v>
      </x:c>
      <x:c r="M201" s="45" t="str">
        <x:v>Production 쓰기 없음</x:v>
      </x:c>
      <x:c r="N201" s="45" t="str">
        <x:v>미착수</x:v>
      </x:c>
      <x:c r="O201" s="45"/>
      <x:c r="P201" s="45"/>
      <x:c r="Q201" s="45" t="str">
        <x:v>공동 계약 v0.1과 해당 Fixture/Mock 준비</x:v>
      </x:c>
      <x:c r="R201" s="45" t="str">
        <x:v>다른 트랙 결과가 없으면 공동 계약 기반 Mock/Fixture로 진행하고 차단 사유를 기록</x:v>
      </x:c>
    </x:row>
    <x:row r="202" ht="72" customHeight="1">
      <x:c r="A202" s="45" t="str">
        <x:v>16일차</x:v>
      </x:c>
      <x:c r="B202" s="45" t="n">
        <x:v>3</x:v>
      </x:c>
      <x:c r="C202" s="45" t="str">
        <x:v>AI·ML</x:v>
      </x:c>
      <x:c r="D202" s="45" t="str">
        <x:v>D16-AI-03</x:v>
      </x:c>
      <x:c r="E202" s="45" t="str">
        <x:v>장애</x:v>
      </x:c>
      <x:c r="F202" s="45" t="str">
        <x:v>LLM·Reranker·Graph 실패 주입</x:v>
      </x:c>
      <x:c r="G202" s="45" t="str">
        <x:v>각 dependency timeout/5xx 시 retry 상한과 fallback/human route를 확인한다.</x:v>
      </x:c>
      <x:c r="H202" s="45" t="str">
        <x:v>ai/tests/agents/test_failure_matrix.py</x:v>
      </x:c>
      <x:c r="I202" s="45" t="str">
        <x:v>AGENT-01 · 04 §6·8·9, 06, 09 Day 16</x:v>
      </x:c>
      <x:c r="J202" s="45" t="str">
        <x:v>ai/tests/agents/test_failure_matrix.py</x:v>
      </x:c>
      <x:c r="K202" s="45" t="str">
        <x:v>pytest ai/tests/agents/test_failure_matrix.py -q</x:v>
      </x:c>
      <x:c r="L202" s="45" t="str">
        <x:v>무한호출 0·상태 종료 명확</x:v>
      </x:c>
      <x:c r="M202" s="45" t="str">
        <x:v>Production 쓰기 없음</x:v>
      </x:c>
      <x:c r="N202" s="45" t="str">
        <x:v>미착수</x:v>
      </x:c>
      <x:c r="O202" s="45"/>
      <x:c r="P202" s="45"/>
      <x:c r="Q202" s="45" t="str">
        <x:v>공동 계약 v0.1과 해당 Fixture/Mock 준비</x:v>
      </x:c>
      <x:c r="R202" s="45" t="str">
        <x:v>다른 트랙 결과가 없으면 공동 계약 기반 Mock/Fixture로 진행하고 차단 사유를 기록</x:v>
      </x:c>
    </x:row>
    <x:row r="203" ht="72" customHeight="1">
      <x:c r="A203" s="45" t="str">
        <x:v>16일차</x:v>
      </x:c>
      <x:c r="B203" s="45" t="n">
        <x:v>4</x:v>
      </x:c>
      <x:c r="C203" s="45" t="str">
        <x:v>AI·ML</x:v>
      </x:c>
      <x:c r="D203" s="45" t="str">
        <x:v>D16-AI-04</x:v>
      </x:c>
      <x:c r="E203" s="45" t="str">
        <x:v>재개</x:v>
      </x:c>
      <x:c r="F203" s="45" t="str">
        <x:v>checkpoint resume 결정성 검사</x:v>
      </x:c>
      <x:c r="G203" s="45" t="str">
        <x:v>같은 checkpoint를 재개해 idempotent node가 중복 효과를 내지 않는지 확인한다.</x:v>
      </x:c>
      <x:c r="H203" s="45" t="str">
        <x:v>ai/tests/agents/test_resume_idempotency.py</x:v>
      </x:c>
      <x:c r="I203" s="45" t="str">
        <x:v>FR-AI-003 · 04 §6·8·9, 06, 09 Day 16</x:v>
      </x:c>
      <x:c r="J203" s="45" t="str">
        <x:v>ai/tests/agents/test_resume_idempotency.py</x:v>
      </x:c>
      <x:c r="K203" s="45" t="str">
        <x:v>pytest ai/tests/agents/test_resume_idempotency.py -q</x:v>
      </x:c>
      <x:c r="L203" s="45" t="str">
        <x:v>tool effect count=1</x:v>
      </x:c>
      <x:c r="M203" s="45" t="str">
        <x:v>Production 쓰기 없음</x:v>
      </x:c>
      <x:c r="N203" s="45" t="str">
        <x:v>미착수</x:v>
      </x:c>
      <x:c r="O203" s="45"/>
      <x:c r="P203" s="45"/>
      <x:c r="Q203" s="45" t="str">
        <x:v>공동 계약 v0.1과 해당 Fixture/Mock 준비</x:v>
      </x:c>
      <x:c r="R203" s="45" t="str">
        <x:v>다른 트랙 결과가 없으면 공동 계약 기반 Mock/Fixture로 진행하고 차단 사유를 기록</x:v>
      </x:c>
    </x:row>
    <x:row r="204" ht="72" customHeight="1">
      <x:c r="A204" s="45" t="str">
        <x:v>16일차</x:v>
      </x:c>
      <x:c r="B204" s="45" t="n">
        <x:v>5</x:v>
      </x:c>
      <x:c r="C204" s="45" t="str">
        <x:v>AI·ML</x:v>
      </x:c>
      <x:c r="D204" s="45" t="str">
        <x:v>D16-AI-05</x:v>
      </x:c>
      <x:c r="E204" s="45" t="str">
        <x:v>호출수</x:v>
      </x:c>
      <x:c r="F204" s="45" t="str">
        <x:v>노드별 모델 호출 횟수 보고</x:v>
      </x:c>
      <x:c r="G204" s="45" t="str">
        <x:v>rule/retrieval/sLLM/large LLM 호출을 scenario별로 집계한다.</x:v>
      </x:c>
      <x:c r="H204" s="45" t="str">
        <x:v>artifacts/integration/day16/model_calls.csv</x:v>
      </x:c>
      <x:c r="I204" s="45" t="str">
        <x:v>04 §9.5 · 04 §6·8·9, 06, 09 Day 16</x:v>
      </x:c>
      <x:c r="J204" s="45" t="str">
        <x:v>artifacts/integration/day16/model_calls.csv</x:v>
      </x:c>
      <x:c r="K204" s="45" t="str">
        <x:v>make report-model-calls DAY=16</x:v>
      </x:c>
      <x:c r="L204" s="45" t="str">
        <x:v>불필요한 반복 호출 식별·조치</x:v>
      </x:c>
      <x:c r="M204" s="45" t="str">
        <x:v>Production 쓰기 없음</x:v>
      </x:c>
      <x:c r="N204" s="45" t="str">
        <x:v>미착수</x:v>
      </x:c>
      <x:c r="O204" s="45"/>
      <x:c r="P204" s="45"/>
      <x:c r="Q204" s="45" t="str">
        <x:v>공동 계약 v0.1과 해당 Fixture/Mock 준비</x:v>
      </x:c>
      <x:c r="R204" s="45" t="str">
        <x:v>다른 트랙 결과가 없으면 공동 계약 기반 Mock/Fixture로 진행하고 차단 사유를 기록</x:v>
      </x:c>
    </x:row>
    <x:row r="205" ht="72" customHeight="1">
      <x:c r="A205" s="46" t="str">
        <x:v>16일차</x:v>
      </x:c>
      <x:c r="B205" s="46" t="n">
        <x:v>1</x:v>
      </x:c>
      <x:c r="C205" s="46" t="str">
        <x:v>백엔드·데이터</x:v>
      </x:c>
      <x:c r="D205" s="46" t="str">
        <x:v>D16-BE-01</x:v>
      </x:c>
      <x:c r="E205" s="46" t="str">
        <x:v>그래프</x:v>
      </x:c>
      <x:c r="F205" s="46" t="str">
        <x:v>명시적 운영 Agent state graph 연결</x:v>
      </x:c>
      <x:c r="G205" s="46" t="str">
        <x:v>classify→retrieve→assess→propose→safety→review 상태와 조건 edge를 구현한다.</x:v>
      </x:c>
      <x:c r="H205" s="46" t="str">
        <x:v>backend/app/agent/operations_graph.py</x:v>
      </x:c>
      <x:c r="I205" s="46" t="str">
        <x:v>FR-AI-003~004 · 04 §6·8·9, 06, 09 Day 16</x:v>
      </x:c>
      <x:c r="J205" s="46" t="str">
        <x:v>backend/app/agent/operations_graph.py</x:v>
      </x:c>
      <x:c r="K205" s="46" t="str">
        <x:v>pytest backend/tests/agents/test_operations_graph.py -q</x:v>
      </x:c>
      <x:c r="L205" s="46" t="str">
        <x:v>상태/edge snapshot 일치</x:v>
      </x:c>
      <x:c r="M205" s="46" t="str">
        <x:v>Production 쓰기 없음</x:v>
      </x:c>
      <x:c r="N205" s="46" t="str">
        <x:v>미착수</x:v>
      </x:c>
      <x:c r="O205" s="46"/>
      <x:c r="P205" s="46"/>
      <x:c r="Q205" s="46" t="str">
        <x:v>공동 계약 v0.1과 해당 Fixture/Mock 준비</x:v>
      </x:c>
      <x:c r="R205" s="46" t="str">
        <x:v>다른 트랙 결과가 없으면 공동 계약 기반 Mock/Fixture로 진행하고 차단 사유를 기록</x:v>
      </x:c>
    </x:row>
    <x:row r="206" ht="72" customHeight="1">
      <x:c r="A206" s="46" t="str">
        <x:v>16일차</x:v>
      </x:c>
      <x:c r="B206" s="46" t="n">
        <x:v>2</x:v>
      </x:c>
      <x:c r="C206" s="46" t="str">
        <x:v>백엔드·데이터</x:v>
      </x:c>
      <x:c r="D206" s="46" t="str">
        <x:v>D16-BE-02</x:v>
      </x:c>
      <x:c r="E206" s="46" t="str">
        <x:v>재시도</x:v>
      </x:c>
      <x:c r="F206" s="46" t="str">
        <x:v>node timeout·retry 정책</x:v>
      </x:c>
      <x:c r="G206" s="46" t="str">
        <x:v>node별 timeout, retryable error, max_attempts, backoff와 final_failed를 고정한다.</x:v>
      </x:c>
      <x:c r="H206" s="46" t="str">
        <x:v>backend/app/agent/retry_policy.py</x:v>
      </x:c>
      <x:c r="I206" s="46" t="str">
        <x:v>04 §9.4 · 04 §6·8·9, 06, 09 Day 16</x:v>
      </x:c>
      <x:c r="J206" s="46" t="str">
        <x:v>backend/app/agent/retry_policy.py</x:v>
      </x:c>
      <x:c r="K206" s="46" t="str">
        <x:v>pytest backend/tests/agents/test_retry_policy.py -q</x:v>
      </x:c>
      <x:c r="L206" s="46" t="str">
        <x:v>비재시도 오류 즉시 종료</x:v>
      </x:c>
      <x:c r="M206" s="46" t="str">
        <x:v>Production 쓰기 없음</x:v>
      </x:c>
      <x:c r="N206" s="46" t="str">
        <x:v>미착수</x:v>
      </x:c>
      <x:c r="O206" s="46"/>
      <x:c r="P206" s="46"/>
      <x:c r="Q206" s="46" t="str">
        <x:v>공동 계약 v0.1과 해당 Fixture/Mock 준비</x:v>
      </x:c>
      <x:c r="R206" s="46" t="str">
        <x:v>다른 트랙 결과가 없으면 공동 계약 기반 Mock/Fixture로 진행하고 차단 사유를 기록</x:v>
      </x:c>
    </x:row>
    <x:row r="207" ht="72" customHeight="1">
      <x:c r="A207" s="46" t="str">
        <x:v>16일차</x:v>
      </x:c>
      <x:c r="B207" s="46" t="n">
        <x:v>3</x:v>
      </x:c>
      <x:c r="C207" s="46" t="str">
        <x:v>백엔드·데이터</x:v>
      </x:c>
      <x:c r="D207" s="46" t="str">
        <x:v>D16-BE-03</x:v>
      </x:c>
      <x:c r="E207" s="46" t="str">
        <x:v>도구</x:v>
      </x:c>
      <x:c r="F207" s="46" t="str">
        <x:v>idempotent internal tool 실행</x:v>
      </x:c>
      <x:c r="G207" s="46" t="str">
        <x:v>Task proposal, evidence write 등 내부 효과에 idempotency_key와 result replay를 적용한다.</x:v>
      </x:c>
      <x:c r="H207" s="46" t="str">
        <x:v>backend/app/tools/idempotent_executor.py</x:v>
      </x:c>
      <x:c r="I207" s="46" t="str">
        <x:v>FR-AI-003 · 04 §6·8·9, 06, 09 Day 16</x:v>
      </x:c>
      <x:c r="J207" s="46" t="str">
        <x:v>backend/app/tools/idempotent_executor.py</x:v>
      </x:c>
      <x:c r="K207" s="46" t="str">
        <x:v>pytest backend/tests/tools/test_idempotent_executor.py -q</x:v>
      </x:c>
      <x:c r="L207" s="46" t="str">
        <x:v>중복호출 effect=1</x:v>
      </x:c>
      <x:c r="M207" s="46" t="str">
        <x:v>Production 쓰기 없음</x:v>
      </x:c>
      <x:c r="N207" s="46" t="str">
        <x:v>미착수</x:v>
      </x:c>
      <x:c r="O207" s="46"/>
      <x:c r="P207" s="46"/>
      <x:c r="Q207" s="46" t="str">
        <x:v>공동 계약 v0.1과 해당 Fixture/Mock 준비</x:v>
      </x:c>
      <x:c r="R207" s="46" t="str">
        <x:v>다른 트랙 결과가 없으면 공동 계약 기반 Mock/Fixture로 진행하고 차단 사유를 기록</x:v>
      </x:c>
    </x:row>
    <x:row r="208" ht="72" customHeight="1">
      <x:c r="A208" s="46" t="str">
        <x:v>16일차</x:v>
      </x:c>
      <x:c r="B208" s="46" t="n">
        <x:v>4</x:v>
      </x:c>
      <x:c r="C208" s="46" t="str">
        <x:v>백엔드·데이터</x:v>
      </x:c>
      <x:c r="D208" s="46" t="str">
        <x:v>D16-BE-04</x:v>
      </x:c>
      <x:c r="E208" s="46" t="str">
        <x:v>검토</x:v>
      </x:c>
      <x:c r="F208" s="46" t="str">
        <x:v>human review pause/resume</x:v>
      </x:c>
      <x:c r="G208" s="46" t="str">
        <x:v>낮은 confidence·고위험·stale이면 checkpoint 후 review_required로 멈춘다.</x:v>
      </x:c>
      <x:c r="H208" s="46" t="str">
        <x:v>backend/app/agent/human_review.py</x:v>
      </x:c>
      <x:c r="I208" s="46" t="str">
        <x:v>FR-AI-004 · 04 §6·8·9, 06, 09 Day 16</x:v>
      </x:c>
      <x:c r="J208" s="46" t="str">
        <x:v>backend/app/agent/human_review.py</x:v>
      </x:c>
      <x:c r="K208" s="46" t="str">
        <x:v>pytest backend/tests/agents/test_human_review.py -q</x:v>
      </x:c>
      <x:c r="L208" s="46" t="str">
        <x:v>승인 전 다음 tool 실행 0</x:v>
      </x:c>
      <x:c r="M208" s="46" t="str">
        <x:v>Production 쓰기 없음</x:v>
      </x:c>
      <x:c r="N208" s="46" t="str">
        <x:v>미착수</x:v>
      </x:c>
      <x:c r="O208" s="46"/>
      <x:c r="P208" s="46"/>
      <x:c r="Q208" s="46" t="str">
        <x:v>공동 계약 v0.1과 해당 Fixture/Mock 준비</x:v>
      </x:c>
      <x:c r="R208" s="46" t="str">
        <x:v>다른 트랙 결과가 없으면 공동 계약 기반 Mock/Fixture로 진행하고 차단 사유를 기록</x:v>
      </x:c>
    </x:row>
    <x:row r="209" ht="72" customHeight="1">
      <x:c r="A209" s="46" t="str">
        <x:v>16일차</x:v>
      </x:c>
      <x:c r="B209" s="46" t="n">
        <x:v>5</x:v>
      </x:c>
      <x:c r="C209" s="46" t="str">
        <x:v>백엔드·데이터</x:v>
      </x:c>
      <x:c r="D209" s="46" t="str">
        <x:v>D16-BE-05</x:v>
      </x:c>
      <x:c r="E209" s="46" t="str">
        <x:v>통합</x:v>
      </x:c>
      <x:c r="F209" s="46" t="str">
        <x:v>Day 16 agent E2E</x:v>
      </x:c>
      <x:c r="G209" s="46" t="str">
        <x:v>graph/memory/failure/resume 시나리오를 API와 DB까지 실행한다.</x:v>
      </x:c>
      <x:c r="H209" s="46" t="str">
        <x:v>backend/tests/integration/test_day16_agent.py</x:v>
      </x:c>
      <x:c r="I209" s="46" t="str">
        <x:v>09 Day 16 · 04 §6·8·9, 06, 09 Day 16</x:v>
      </x:c>
      <x:c r="J209" s="46" t="str">
        <x:v>backend/tests/integration/test_day16_agent.py</x:v>
      </x:c>
      <x:c r="K209" s="46" t="str">
        <x:v>pytest backend/tests/integration/test_day16_agent.py -q</x:v>
      </x:c>
      <x:c r="L209" s="46" t="str">
        <x:v>state·audit·tool count 일치</x:v>
      </x:c>
      <x:c r="M209" s="46" t="str">
        <x:v>Production 쓰기 없음</x:v>
      </x:c>
      <x:c r="N209" s="46" t="str">
        <x:v>미착수</x:v>
      </x:c>
      <x:c r="O209" s="46"/>
      <x:c r="P209" s="46"/>
      <x:c r="Q209" s="46" t="str">
        <x:v>공동 계약 v0.1과 해당 Fixture/Mock 준비</x:v>
      </x:c>
      <x:c r="R209" s="46" t="str">
        <x:v>다른 트랙 결과가 없으면 공동 계약 기반 Mock/Fixture로 진행하고 차단 사유를 기록</x:v>
      </x:c>
    </x:row>
    <x:row r="210" ht="72" customHeight="1">
      <x:c r="A210" s="47" t="str">
        <x:v>16일차</x:v>
      </x:c>
      <x:c r="B210" s="47" t="n">
        <x:v>1</x:v>
      </x:c>
      <x:c r="C210" s="47" t="str">
        <x:v>프론트엔드·제품</x:v>
      </x:c>
      <x:c r="D210" s="47" t="str">
        <x:v>D16-FE-01</x:v>
      </x:c>
      <x:c r="E210" s="47" t="str">
        <x:v>Trace</x:v>
      </x:c>
      <x:c r="F210" s="47" t="str">
        <x:v>Agent 단계·상태·근거 Drawer</x:v>
      </x:c>
      <x:c r="G210" s="47" t="str">
        <x:v>내부 사고과정을 공개하지 않고 수행 단계, 사용 도구, 근거, 결과, 오류만 표시한다.</x:v>
      </x:c>
      <x:c r="H210" s="47" t="str">
        <x:v>frontend/src/features/agents/AgentTrace.tsx</x:v>
      </x:c>
      <x:c r="I210" s="47" t="str">
        <x:v>07 §9 · 04 §6·8·9, 06, 09 Day 16</x:v>
      </x:c>
      <x:c r="J210" s="47" t="str">
        <x:v>frontend/src/features/agents/AgentTrace.tsx</x:v>
      </x:c>
      <x:c r="K210" s="47" t="str">
        <x:v>npm --prefix frontend test -- AgentTrace</x:v>
      </x:c>
      <x:c r="L210" s="47" t="str">
        <x:v>민감 추론·PII 표시 0</x:v>
      </x:c>
      <x:c r="M210" s="47" t="str">
        <x:v>Production 쓰기 없음</x:v>
      </x:c>
      <x:c r="N210" s="47" t="str">
        <x:v>미착수</x:v>
      </x:c>
      <x:c r="O210" s="47"/>
      <x:c r="P210" s="47"/>
      <x:c r="Q210" s="47" t="str">
        <x:v>공동 계약 v0.1과 해당 Fixture/Mock 준비</x:v>
      </x:c>
      <x:c r="R210" s="47" t="str">
        <x:v>다른 트랙 결과가 없으면 공동 계약 기반 Mock/Fixture로 진행하고 차단 사유를 기록</x:v>
      </x:c>
    </x:row>
    <x:row r="211" ht="72" customHeight="1">
      <x:c r="A211" s="47" t="str">
        <x:v>16일차</x:v>
      </x:c>
      <x:c r="B211" s="47" t="n">
        <x:v>2</x:v>
      </x:c>
      <x:c r="C211" s="47" t="str">
        <x:v>프론트엔드·제품</x:v>
      </x:c>
      <x:c r="D211" s="47" t="str">
        <x:v>D16-FE-02</x:v>
      </x:c>
      <x:c r="E211" s="47" t="str">
        <x:v>E2E</x:v>
      </x:c>
      <x:c r="F211" s="47" t="str">
        <x:v>관계문의·3-turn 대화 흐름</x:v>
      </x:c>
      <x:c r="G211" s="47" t="str">
        <x:v>Graph path와 selective memory 표시를 실제 API 응답으로 검증한다.</x:v>
      </x:c>
      <x:c r="H211" s="47" t="str">
        <x:v>frontend/e2e/graph-memory.spec.ts</x:v>
      </x:c>
      <x:c r="I211" s="47" t="str">
        <x:v>GRAPH-01 · MEM-01 · 04 §6·8·9, 06, 09 Day 16</x:v>
      </x:c>
      <x:c r="J211" s="47" t="str">
        <x:v>frontend/e2e/graph-memory.spec.ts</x:v>
      </x:c>
      <x:c r="K211" s="47" t="str">
        <x:v>npm --prefix frontend run e2e -- graph-memory</x:v>
      </x:c>
      <x:c r="L211" s="47" t="str">
        <x:v>trace·citation·token 비교 증거</x:v>
      </x:c>
      <x:c r="M211" s="47" t="str">
        <x:v>Production 쓰기 없음</x:v>
      </x:c>
      <x:c r="N211" s="47" t="str">
        <x:v>미착수</x:v>
      </x:c>
      <x:c r="O211" s="47"/>
      <x:c r="P211" s="47"/>
      <x:c r="Q211" s="47" t="str">
        <x:v>공동 계약 v0.1과 해당 Fixture/Mock 준비</x:v>
      </x:c>
      <x:c r="R211" s="47" t="str">
        <x:v>다른 트랙 결과가 없으면 공동 계약 기반 Mock/Fixture로 진행하고 차단 사유를 기록</x:v>
      </x:c>
    </x:row>
    <x:row r="212" ht="72" customHeight="1">
      <x:c r="A212" s="47" t="str">
        <x:v>16일차</x:v>
      </x:c>
      <x:c r="B212" s="47" t="n">
        <x:v>3</x:v>
      </x:c>
      <x:c r="C212" s="47" t="str">
        <x:v>프론트엔드·제품</x:v>
      </x:c>
      <x:c r="D212" s="47" t="str">
        <x:v>D16-FE-03</x:v>
      </x:c>
      <x:c r="E212" s="47" t="str">
        <x:v>복구</x:v>
      </x:c>
      <x:c r="F212" s="47" t="str">
        <x:v>timeout→재개 사용자 흐름</x:v>
      </x:c>
      <x:c r="G212" s="47" t="str">
        <x:v>실패 이유와 재개 지점을 보여주고 중복 Task가 생기지 않음을 검증한다.</x:v>
      </x:c>
      <x:c r="H212" s="47" t="str">
        <x:v>frontend/e2e/agent-resume.spec.ts</x:v>
      </x:c>
      <x:c r="I212" s="47" t="str">
        <x:v>FR-AI-003 · 04 §6·8·9, 06, 09 Day 16</x:v>
      </x:c>
      <x:c r="J212" s="47" t="str">
        <x:v>frontend/e2e/agent-resume.spec.ts</x:v>
      </x:c>
      <x:c r="K212" s="47" t="str">
        <x:v>npm --prefix frontend run e2e -- agent-resume</x:v>
      </x:c>
      <x:c r="L212" s="47" t="str">
        <x:v>중복 효과 0·audit 표시</x:v>
      </x:c>
      <x:c r="M212" s="47" t="str">
        <x:v>Production 쓰기 없음</x:v>
      </x:c>
      <x:c r="N212" s="47" t="str">
        <x:v>미착수</x:v>
      </x:c>
      <x:c r="O212" s="47"/>
      <x:c r="P212" s="47"/>
      <x:c r="Q212" s="47" t="str">
        <x:v>공동 계약 v0.1과 해당 Fixture/Mock 준비</x:v>
      </x:c>
      <x:c r="R212" s="47" t="str">
        <x:v>다른 트랙 결과가 없으면 공동 계약 기반 Mock/Fixture로 진행하고 차단 사유를 기록</x:v>
      </x:c>
    </x:row>
    <x:row r="213" ht="72" customHeight="1">
      <x:c r="A213" s="45" t="str">
        <x:v>17일차</x:v>
      </x:c>
      <x:c r="B213" s="45" t="n">
        <x:v>1</x:v>
      </x:c>
      <x:c r="C213" s="45" t="str">
        <x:v>AI·ML</x:v>
      </x:c>
      <x:c r="D213" s="45" t="str">
        <x:v>D17-AI-01</x:v>
      </x:c>
      <x:c r="E213" s="45" t="str">
        <x:v>특징</x:v>
      </x:c>
      <x:c r="F213" s="45" t="str">
        <x:v>운영 우선순위 feature builder</x:v>
      </x:c>
      <x:c r="G213" s="45" t="str">
        <x:v>deadline, severity, affected_orders, shortage, aging, revenue proxy, data freshness를 누출 없이 만든다.</x:v>
      </x:c>
      <x:c r="H213" s="45" t="str">
        <x:v>ai/ranking/features.py</x:v>
      </x:c>
      <x:c r="I213" s="45" t="str">
        <x:v>PRIO-01 · 04 §10, 02 P0, 09 AI 평가</x:v>
      </x:c>
      <x:c r="J213" s="45" t="str">
        <x:v>ai/ranking/features.py</x:v>
      </x:c>
      <x:c r="K213" s="45" t="str">
        <x:v>pytest ai/tests/ranking/test_features.py -q</x:v>
      </x:c>
      <x:c r="L213" s="45" t="str">
        <x:v>as_of 이후 정보 사용 0건</x:v>
      </x:c>
      <x:c r="M213" s="45" t="str">
        <x:v>Production 쓰기 없음</x:v>
      </x:c>
      <x:c r="N213" s="45" t="str">
        <x:v>미착수</x:v>
      </x:c>
      <x:c r="O213" s="45"/>
      <x:c r="P213" s="45"/>
      <x:c r="Q213" s="45" t="str">
        <x:v>공동 계약 v0.1과 해당 Fixture/Mock 준비</x:v>
      </x:c>
      <x:c r="R213" s="45" t="str">
        <x:v>다른 트랙 결과가 없으면 공동 계약 기반 Mock/Fixture로 진행하고 차단 사유를 기록</x:v>
      </x:c>
    </x:row>
    <x:row r="214" ht="72" customHeight="1">
      <x:c r="A214" s="45" t="str">
        <x:v>17일차</x:v>
      </x:c>
      <x:c r="B214" s="45" t="n">
        <x:v>2</x:v>
      </x:c>
      <x:c r="C214" s="45" t="str">
        <x:v>AI·ML</x:v>
      </x:c>
      <x:c r="D214" s="45" t="str">
        <x:v>D17-AI-02</x:v>
      </x:c>
      <x:c r="E214" s="45" t="str">
        <x:v>기준선</x:v>
      </x:c>
      <x:c r="F214" s="45" t="str">
        <x:v>규칙 우선순위 baseline</x:v>
      </x:c>
      <x:c r="G214" s="45" t="str">
        <x:v>사업 규칙 가중치와 tie-break를 versioning하고 fixed scenarios를 정렬한다.</x:v>
      </x:c>
      <x:c r="H214" s="45" t="str">
        <x:v>ai/ranking/rule_ranker.py</x:v>
      </x:c>
      <x:c r="I214" s="45" t="str">
        <x:v>FR-SCH-004 · 04 §10, 02 P0, 09 AI 평가</x:v>
      </x:c>
      <x:c r="J214" s="45" t="str">
        <x:v>ai/ranking/rule_ranker.py</x:v>
      </x:c>
      <x:c r="K214" s="45" t="str">
        <x:v>make eval-ranking METHOD=rule</x:v>
      </x:c>
      <x:c r="L214" s="45" t="str">
        <x:v>nDCG/order agreement·설명성</x:v>
      </x:c>
      <x:c r="M214" s="45" t="str">
        <x:v>Production 쓰기 없음</x:v>
      </x:c>
      <x:c r="N214" s="45" t="str">
        <x:v>미착수</x:v>
      </x:c>
      <x:c r="O214" s="45"/>
      <x:c r="P214" s="45"/>
      <x:c r="Q214" s="45" t="str">
        <x:v>공동 계약 v0.1과 해당 Fixture/Mock 준비</x:v>
      </x:c>
      <x:c r="R214" s="45" t="str">
        <x:v>다른 트랙 결과가 없으면 공동 계약 기반 Mock/Fixture로 진행하고 차단 사유를 기록</x:v>
      </x:c>
    </x:row>
    <x:row r="215" ht="72" customHeight="1">
      <x:c r="A215" s="45" t="str">
        <x:v>17일차</x:v>
      </x:c>
      <x:c r="B215" s="45" t="n">
        <x:v>3</x:v>
      </x:c>
      <x:c r="C215" s="45" t="str">
        <x:v>AI·ML</x:v>
      </x:c>
      <x:c r="D215" s="45" t="str">
        <x:v>D17-AI-03</x:v>
      </x:c>
      <x:c r="E215" s="45" t="str">
        <x:v>후보</x:v>
      </x:c>
      <x:c r="F215" s="45" t="str">
        <x:v>경량 ranking 후보</x:v>
      </x:c>
      <x:c r="G215" s="45" t="str">
        <x:v>학습 가능한 데이터가 충분할 때만 pairwise 또는 linear model을 실행하고 부족하면 기각한다.</x:v>
      </x:c>
      <x:c r="H215" s="45" t="str">
        <x:v>ai/ranking/model_ranker.py</x:v>
      </x:c>
      <x:c r="I215" s="45" t="str">
        <x:v>PRIO-01 · 04 §10, 02 P0, 09 AI 평가</x:v>
      </x:c>
      <x:c r="J215" s="45" t="str">
        <x:v>ai/ranking/model_ranker.py</x:v>
      </x:c>
      <x:c r="K215" s="45" t="str">
        <x:v>make eval-ranking METHOD=model</x:v>
      </x:c>
      <x:c r="L215" s="45" t="str">
        <x:v>데이터 support·metric·calibration</x:v>
      </x:c>
      <x:c r="M215" s="45" t="str">
        <x:v>Production 쓰기 없음</x:v>
      </x:c>
      <x:c r="N215" s="45" t="str">
        <x:v>미착수</x:v>
      </x:c>
      <x:c r="O215" s="45"/>
      <x:c r="P215" s="45"/>
      <x:c r="Q215" s="45" t="str">
        <x:v>공동 계약 v0.1과 해당 Fixture/Mock 준비</x:v>
      </x:c>
      <x:c r="R215" s="45" t="str">
        <x:v>다른 트랙 결과가 없으면 공동 계약 기반 Mock/Fixture로 진행하고 차단 사유를 기록</x:v>
      </x:c>
    </x:row>
    <x:row r="216" ht="72" customHeight="1">
      <x:c r="A216" s="45" t="str">
        <x:v>17일차</x:v>
      </x:c>
      <x:c r="B216" s="45" t="n">
        <x:v>4</x:v>
      </x:c>
      <x:c r="C216" s="45" t="str">
        <x:v>AI·ML</x:v>
      </x:c>
      <x:c r="D216" s="45" t="str">
        <x:v>D17-AI-04</x:v>
      </x:c>
      <x:c r="E216" s="45" t="str">
        <x:v>이상징후</x:v>
      </x:c>
      <x:c r="F216" s="45" t="str">
        <x:v>문의+반품 증가 탐지 baseline</x:v>
      </x:c>
      <x:c r="G216" s="45" t="str">
        <x:v>최소표본, 이동평균/robust z-score와 seasonality 제한을 적용한다.</x:v>
      </x:c>
      <x:c r="H216" s="45" t="str">
        <x:v>ai/analytics/product_anomaly.py</x:v>
      </x:c>
      <x:c r="I216" s="45" t="str">
        <x:v>ANALYTICS-01 · 04 §10, 02 P0, 09 AI 평가</x:v>
      </x:c>
      <x:c r="J216" s="45" t="str">
        <x:v>ai/analytics/product_anomaly.py</x:v>
      </x:c>
      <x:c r="K216" s="45" t="str">
        <x:v>make eval-anomaly METHOD=rule</x:v>
      </x:c>
      <x:c r="L216" s="45" t="str">
        <x:v>precision/recall·false alert 사례</x:v>
      </x:c>
      <x:c r="M216" s="45" t="str">
        <x:v>Production 쓰기 없음</x:v>
      </x:c>
      <x:c r="N216" s="45" t="str">
        <x:v>미착수</x:v>
      </x:c>
      <x:c r="O216" s="45"/>
      <x:c r="P216" s="45"/>
      <x:c r="Q216" s="45" t="str">
        <x:v>공동 계약 v0.1과 해당 Fixture/Mock 준비</x:v>
      </x:c>
      <x:c r="R216" s="45" t="str">
        <x:v>다른 트랙 결과가 없으면 공동 계약 기반 Mock/Fixture로 진행하고 차단 사유를 기록</x:v>
      </x:c>
    </x:row>
    <x:row r="217" ht="72" customHeight="1">
      <x:c r="A217" s="45" t="str">
        <x:v>17일차</x:v>
      </x:c>
      <x:c r="B217" s="45" t="n">
        <x:v>5</x:v>
      </x:c>
      <x:c r="C217" s="45" t="str">
        <x:v>AI·ML</x:v>
      </x:c>
      <x:c r="D217" s="45" t="str">
        <x:v>D17-AI-05</x:v>
      </x:c>
      <x:c r="E217" s="45" t="str">
        <x:v>판정</x:v>
      </x:c>
      <x:c r="F217" s="45" t="str">
        <x:v>Rule priority vs AI/Ranking 채택</x:v>
      </x:c>
      <x:c r="G217" s="45" t="str">
        <x:v>안전·설명성·nDCG·운영 피드백을 함께 보고 AI 우선권을 제한한다.</x:v>
      </x:c>
      <x:c r="H217" s="45" t="str">
        <x:v>artifacts/experiments/PRIO-01/decision.md</x:v>
      </x:c>
      <x:c r="I217" s="45" t="str">
        <x:v>04 §10.2 · 04 §10, 02 P0, 09 AI 평가</x:v>
      </x:c>
      <x:c r="J217" s="45" t="str">
        <x:v>artifacts/experiments/PRIO-01/decision.md</x:v>
      </x:c>
      <x:c r="K217" s="45" t="str">
        <x:v>make eval-report EXP=PRIO-01</x:v>
      </x:c>
      <x:c r="L217" s="45" t="str">
        <x:v>Rule 유지/AI 보조 범위 명시</x:v>
      </x:c>
      <x:c r="M217" s="45" t="str">
        <x:v>Production 쓰기 없음</x:v>
      </x:c>
      <x:c r="N217" s="45" t="str">
        <x:v>미착수</x:v>
      </x:c>
      <x:c r="O217" s="45"/>
      <x:c r="P217" s="45"/>
      <x:c r="Q217" s="45" t="str">
        <x:v>공동 계약 v0.1과 해당 Fixture/Mock 준비</x:v>
      </x:c>
      <x:c r="R217" s="45" t="str">
        <x:v>다른 트랙 결과가 없으면 공동 계약 기반 Mock/Fixture로 진행하고 차단 사유를 기록</x:v>
      </x:c>
    </x:row>
    <x:row r="218" ht="72" customHeight="1">
      <x:c r="A218" s="46" t="str">
        <x:v>17일차</x:v>
      </x:c>
      <x:c r="B218" s="46" t="n">
        <x:v>1</x:v>
      </x:c>
      <x:c r="C218" s="46" t="str">
        <x:v>백엔드·데이터</x:v>
      </x:c>
      <x:c r="D218" s="46" t="str">
        <x:v>D17-BE-01</x:v>
      </x:c>
      <x:c r="E218" s="46" t="str">
        <x:v>탐지</x:v>
      </x:c>
      <x:c r="F218" s="46" t="str">
        <x:v>P0 위험 detector 묶음</x:v>
      </x:c>
      <x:c r="G218" s="46" t="str">
        <x:v>inventory mismatch, reservation shortage, launch delay를 deterministic rule로 실행한다.</x:v>
      </x:c>
      <x:c r="H218" s="46" t="str">
        <x:v>backend/app/services/risk_detectors.py</x:v>
      </x:c>
      <x:c r="I218" s="46" t="str">
        <x:v>FR-INV/RES/SCH · 04 §10, 02 P0, 09 AI 평가</x:v>
      </x:c>
      <x:c r="J218" s="46" t="str">
        <x:v>backend/app/services/risk_detectors.py</x:v>
      </x:c>
      <x:c r="K218" s="46" t="str">
        <x:v>pytest backend/tests/risks/test_detectors.py -q</x:v>
      </x:c>
      <x:c r="L218" s="46" t="str">
        <x:v>각 detector 근거·version 반환</x:v>
      </x:c>
      <x:c r="M218" s="46" t="str">
        <x:v>Production 쓰기 없음</x:v>
      </x:c>
      <x:c r="N218" s="46" t="str">
        <x:v>미착수</x:v>
      </x:c>
      <x:c r="O218" s="46"/>
      <x:c r="P218" s="46"/>
      <x:c r="Q218" s="46" t="str">
        <x:v>공동 계약 v0.1과 해당 Fixture/Mock 준비</x:v>
      </x:c>
      <x:c r="R218" s="46" t="str">
        <x:v>다른 트랙 결과가 없으면 공동 계약 기반 Mock/Fixture로 진행하고 차단 사유를 기록</x:v>
      </x:c>
    </x:row>
    <x:row r="219" ht="72" customHeight="1">
      <x:c r="A219" s="46" t="str">
        <x:v>17일차</x:v>
      </x:c>
      <x:c r="B219" s="46" t="n">
        <x:v>2</x:v>
      </x:c>
      <x:c r="C219" s="46" t="str">
        <x:v>백엔드·데이터</x:v>
      </x:c>
      <x:c r="D219" s="46" t="str">
        <x:v>D17-BE-02</x:v>
      </x:c>
      <x:c r="E219" s="46" t="str">
        <x:v>신호</x:v>
      </x:c>
      <x:c r="F219" s="46" t="str">
        <x:v>문의·반품 결합 Insight</x:v>
      </x:c>
      <x:c r="G219" s="46" t="str">
        <x:v>같은 product/time window의 증가를 minimum support와 freshness로 평가한다.</x:v>
      </x:c>
      <x:c r="H219" s="46" t="str">
        <x:v>backend/app/services/combined_signals.py</x:v>
      </x:c>
      <x:c r="I219" s="46" t="str">
        <x:v>FR-AI-001 · 04 §10, 02 P0, 09 AI 평가</x:v>
      </x:c>
      <x:c r="J219" s="46" t="str">
        <x:v>backend/app/services/combined_signals.py</x:v>
      </x:c>
      <x:c r="K219" s="46" t="str">
        <x:v>pytest backend/tests/analytics/test_combined_signals.py -q</x:v>
      </x:c>
      <x:c r="L219" s="46" t="str">
        <x:v>우연한 소수 신호 경고 억제</x:v>
      </x:c>
      <x:c r="M219" s="46" t="str">
        <x:v>Production 쓰기 없음</x:v>
      </x:c>
      <x:c r="N219" s="46" t="str">
        <x:v>미착수</x:v>
      </x:c>
      <x:c r="O219" s="46"/>
      <x:c r="P219" s="46"/>
      <x:c r="Q219" s="46" t="str">
        <x:v>공동 계약 v0.1과 해당 Fixture/Mock 준비</x:v>
      </x:c>
      <x:c r="R219" s="46" t="str">
        <x:v>다른 트랙 결과가 없으면 공동 계약 기반 Mock/Fixture로 진행하고 차단 사유를 기록</x:v>
      </x:c>
    </x:row>
    <x:row r="220" ht="72" customHeight="1">
      <x:c r="A220" s="46" t="str">
        <x:v>17일차</x:v>
      </x:c>
      <x:c r="B220" s="46" t="n">
        <x:v>3</x:v>
      </x:c>
      <x:c r="C220" s="46" t="str">
        <x:v>백엔드·데이터</x:v>
      </x:c>
      <x:c r="D220" s="46" t="str">
        <x:v>D17-BE-03</x:v>
      </x:c>
      <x:c r="E220" s="46" t="str">
        <x:v>Insight</x:v>
      </x:c>
      <x:c r="F220" s="46" t="str">
        <x:v>공통 Insight·Evidence 저장</x:v>
      </x:c>
      <x:c r="G220" s="46" t="str">
        <x:v>type/severity/confidence/summary/evidence_ids/method/version을 저장한다.</x:v>
      </x:c>
      <x:c r="H220" s="46" t="str">
        <x:v>backend/app/services/insight_service.py</x:v>
      </x:c>
      <x:c r="I220" s="46" t="str">
        <x:v>FR-AI-001 · 04 §10, 02 P0, 09 AI 평가</x:v>
      </x:c>
      <x:c r="J220" s="46" t="str">
        <x:v>backend/app/services/insight_service.py</x:v>
      </x:c>
      <x:c r="K220" s="46" t="str">
        <x:v>pytest backend/tests/insights/test_insight_service.py -q</x:v>
      </x:c>
      <x:c r="L220" s="46" t="str">
        <x:v>evidence 없는 경우 reason 필수</x:v>
      </x:c>
      <x:c r="M220" s="46" t="str">
        <x:v>Production 쓰기 없음</x:v>
      </x:c>
      <x:c r="N220" s="46" t="str">
        <x:v>미착수</x:v>
      </x:c>
      <x:c r="O220" s="46"/>
      <x:c r="P220" s="46"/>
      <x:c r="Q220" s="46" t="str">
        <x:v>공동 계약 v0.1과 해당 Fixture/Mock 준비</x:v>
      </x:c>
      <x:c r="R220" s="46" t="str">
        <x:v>다른 트랙 결과가 없으면 공동 계약 기반 Mock/Fixture로 진행하고 차단 사유를 기록</x:v>
      </x:c>
    </x:row>
    <x:row r="221" ht="72" customHeight="1">
      <x:c r="A221" s="46" t="str">
        <x:v>17일차</x:v>
      </x:c>
      <x:c r="B221" s="46" t="n">
        <x:v>4</x:v>
      </x:c>
      <x:c r="C221" s="46" t="str">
        <x:v>백엔드·데이터</x:v>
      </x:c>
      <x:c r="D221" s="46" t="str">
        <x:v>D17-BE-04</x:v>
      </x:c>
      <x:c r="E221" s="46" t="str">
        <x:v>Task</x:v>
      </x:c>
      <x:c r="F221" s="46" t="str">
        <x:v>Insight→Task proposal 연결</x:v>
      </x:c>
      <x:c r="G221" s="46" t="str">
        <x:v>detector reason을 dedupe key로 삼고 외부 실행 없이 PROPOSED 상태로 만든다.</x:v>
      </x:c>
      <x:c r="H221" s="46" t="str">
        <x:v>backend/app/services/insight_to_task.py</x:v>
      </x:c>
      <x:c r="I221" s="46" t="str">
        <x:v>FR-RES-002 · 04 §10, 02 P0, 09 AI 평가</x:v>
      </x:c>
      <x:c r="J221" s="46" t="str">
        <x:v>backend/app/services/insight_to_task.py</x:v>
      </x:c>
      <x:c r="K221" s="46" t="str">
        <x:v>pytest backend/tests/tasks/test_insight_to_task.py -q</x:v>
      </x:c>
      <x:c r="L221" s="46" t="str">
        <x:v>중복·자동승인 0건</x:v>
      </x:c>
      <x:c r="M221" s="46" t="str">
        <x:v>Production 쓰기 없음</x:v>
      </x:c>
      <x:c r="N221" s="46" t="str">
        <x:v>미착수</x:v>
      </x:c>
      <x:c r="O221" s="46"/>
      <x:c r="P221" s="46"/>
      <x:c r="Q221" s="46" t="str">
        <x:v>공동 계약 v0.1과 해당 Fixture/Mock 준비</x:v>
      </x:c>
      <x:c r="R221" s="46" t="str">
        <x:v>다른 트랙 결과가 없으면 공동 계약 기반 Mock/Fixture로 진행하고 차단 사유를 기록</x:v>
      </x:c>
    </x:row>
    <x:row r="222" ht="72" customHeight="1">
      <x:c r="A222" s="46" t="str">
        <x:v>17일차</x:v>
      </x:c>
      <x:c r="B222" s="46" t="n">
        <x:v>5</x:v>
      </x:c>
      <x:c r="C222" s="46" t="str">
        <x:v>백엔드·데이터</x:v>
      </x:c>
      <x:c r="D222" s="46" t="str">
        <x:v>D17-BE-05</x:v>
      </x:c>
      <x:c r="E222" s="46" t="str">
        <x:v>API</x:v>
      </x:c>
      <x:c r="F222" s="46" t="str">
        <x:v>오늘 할 일 통합 API</x:v>
      </x:c>
      <x:c r="G222" s="46" t="str">
        <x:v>여러 도메인 Task를 priority와 contribution, freshness로 반환한다.</x:v>
      </x:c>
      <x:c r="H222" s="46" t="str">
        <x:v>backend/app/routes/today.py</x:v>
      </x:c>
      <x:c r="I222" s="46" t="str">
        <x:v>FR-SCH-004 · 04 §10, 02 P0, 09 AI 평가</x:v>
      </x:c>
      <x:c r="J222" s="46" t="str">
        <x:v>backend/app/routes/today.py</x:v>
      </x:c>
      <x:c r="K222" s="46" t="str">
        <x:v>pytest backend/tests/api/test_today.py -q</x:v>
      </x:c>
      <x:c r="L222" s="46" t="str">
        <x:v>정렬·pagination·tenant 격리</x:v>
      </x:c>
      <x:c r="M222" s="46" t="str">
        <x:v>Production 쓰기 없음</x:v>
      </x:c>
      <x:c r="N222" s="46" t="str">
        <x:v>미착수</x:v>
      </x:c>
      <x:c r="O222" s="46"/>
      <x:c r="P222" s="46"/>
      <x:c r="Q222" s="46" t="str">
        <x:v>공동 계약 v0.1과 해당 Fixture/Mock 준비</x:v>
      </x:c>
      <x:c r="R222" s="46" t="str">
        <x:v>다른 트랙 결과가 없으면 공동 계약 기반 Mock/Fixture로 진행하고 차단 사유를 기록</x:v>
      </x:c>
    </x:row>
    <x:row r="223" ht="72" customHeight="1">
      <x:c r="A223" s="47" t="str">
        <x:v>17일차</x:v>
      </x:c>
      <x:c r="B223" s="47" t="n">
        <x:v>1</x:v>
      </x:c>
      <x:c r="C223" s="47" t="str">
        <x:v>프론트엔드·제품</x:v>
      </x:c>
      <x:c r="D223" s="47" t="str">
        <x:v>D17-FE-01</x:v>
      </x:c>
      <x:c r="E223" s="47" t="str">
        <x:v>홈</x:v>
      </x:c>
      <x:c r="F223" s="47" t="str">
        <x:v>통합 위험 Queue 연결</x:v>
      </x:c>
      <x:c r="G223" s="47" t="str">
        <x:v>재고·예약·일정·상품신호를 한 목록에 표시하되 유형과 근거를 구분한다.</x:v>
      </x:c>
      <x:c r="H223" s="47" t="str">
        <x:v>frontend/src/app/pages/DashboardPage.tsx</x:v>
      </x:c>
      <x:c r="I223" s="47" t="str">
        <x:v>07 §4 · 04 §10, 02 P0, 09 AI 평가</x:v>
      </x:c>
      <x:c r="J223" s="47" t="str">
        <x:v>frontend/src/app/home/page.tsx</x:v>
      </x:c>
      <x:c r="K223" s="47" t="str">
        <x:v>npm --prefix frontend test -- IntegratedQueue</x:v>
      </x:c>
      <x:c r="L223" s="47" t="str">
        <x:v>네 유형 정렬·필터 통과</x:v>
      </x:c>
      <x:c r="M223" s="47" t="str">
        <x:v>Production 쓰기 없음</x:v>
      </x:c>
      <x:c r="N223" s="47" t="str">
        <x:v>미착수</x:v>
      </x:c>
      <x:c r="O223" s="47"/>
      <x:c r="P223" s="47"/>
      <x:c r="Q223" s="47" t="str">
        <x:v>공동 계약 v0.1과 해당 Fixture/Mock 준비</x:v>
      </x:c>
      <x:c r="R223" s="47" t="str">
        <x:v>다른 트랙 결과가 없으면 공동 계약 기반 Mock/Fixture로 진행하고 차단 사유를 기록</x:v>
      </x:c>
    </x:row>
    <x:row r="224" ht="72" customHeight="1">
      <x:c r="A224" s="47" t="str">
        <x:v>17일차</x:v>
      </x:c>
      <x:c r="B224" s="47" t="n">
        <x:v>2</x:v>
      </x:c>
      <x:c r="C224" s="47" t="str">
        <x:v>프론트엔드·제품</x:v>
      </x:c>
      <x:c r="D224" s="47" t="str">
        <x:v>D17-FE-02</x:v>
      </x:c>
      <x:c r="E224" s="47" t="str">
        <x:v>설명</x:v>
      </x:c>
      <x:c r="F224" s="47" t="str">
        <x:v>규칙·AI·사람 입력 출처 표시</x:v>
      </x:c>
      <x:c r="G224" s="47" t="str">
        <x:v>method, version, confidence를 사용자용 문장으로 변환한다.</x:v>
      </x:c>
      <x:c r="H224" s="47" t="str">
        <x:v>frontend/src/components/DecisionSource.tsx</x:v>
      </x:c>
      <x:c r="I224" s="47" t="str">
        <x:v>07 원칙 · 04 §10, 02 P0, 09 AI 평가</x:v>
      </x:c>
      <x:c r="J224" s="47" t="str">
        <x:v>frontend/src/components/DecisionSource.tsx</x:v>
      </x:c>
      <x:c r="K224" s="47" t="str">
        <x:v>npm --prefix frontend test -- DecisionSource</x:v>
      </x:c>
      <x:c r="L224" s="47" t="str">
        <x:v>출처 모호한 카드 0개</x:v>
      </x:c>
      <x:c r="M224" s="47" t="str">
        <x:v>Production 쓰기 없음</x:v>
      </x:c>
      <x:c r="N224" s="47" t="str">
        <x:v>미착수</x:v>
      </x:c>
      <x:c r="O224" s="47"/>
      <x:c r="P224" s="47"/>
      <x:c r="Q224" s="47" t="str">
        <x:v>공동 계약 v0.1과 해당 Fixture/Mock 준비</x:v>
      </x:c>
      <x:c r="R224" s="47" t="str">
        <x:v>다른 트랙 결과가 없으면 공동 계약 기반 Mock/Fixture로 진행하고 차단 사유를 기록</x:v>
      </x:c>
    </x:row>
    <x:row r="225" ht="72" customHeight="1">
      <x:c r="A225" s="47" t="str">
        <x:v>17일차</x:v>
      </x:c>
      <x:c r="B225" s="47" t="n">
        <x:v>3</x:v>
      </x:c>
      <x:c r="C225" s="47" t="str">
        <x:v>프론트엔드·제품</x:v>
      </x:c>
      <x:c r="D225" s="47" t="str">
        <x:v>D17-FE-03</x:v>
      </x:c>
      <x:c r="E225" s="47" t="str">
        <x:v>비교</x:v>
      </x:c>
      <x:c r="F225" s="47" t="str">
        <x:v>우선순위 실험 결과 화면</x:v>
      </x:c>
      <x:c r="G225" s="47" t="str">
        <x:v>Rule과 후보 ranking의 nDCG, 오류 사례, 채택결정을 포트폴리오용으로 표시한다.</x:v>
      </x:c>
      <x:c r="H225" s="47" t="str">
        <x:v>frontend/src/features/evaluation/RankingComparison.tsx</x:v>
      </x:c>
      <x:c r="I225" s="47" t="str">
        <x:v>PRIO-01 · 04 §10, 02 P0, 09 AI 평가</x:v>
      </x:c>
      <x:c r="J225" s="47" t="str">
        <x:v>frontend/src/features/evaluation/RankingComparison.tsx</x:v>
      </x:c>
      <x:c r="K225" s="47" t="str">
        <x:v>npm --prefix frontend test -- RankingComparison</x:v>
      </x:c>
      <x:c r="L225" s="47" t="str">
        <x:v>result JSON과 값 일치</x:v>
      </x:c>
      <x:c r="M225" s="47" t="str">
        <x:v>Production 쓰기 없음</x:v>
      </x:c>
      <x:c r="N225" s="47" t="str">
        <x:v>미착수</x:v>
      </x:c>
      <x:c r="O225" s="47"/>
      <x:c r="P225" s="47"/>
      <x:c r="Q225" s="47" t="str">
        <x:v>공동 계약 v0.1과 해당 Fixture/Mock 준비</x:v>
      </x:c>
      <x:c r="R225" s="47" t="str">
        <x:v>다른 트랙 결과가 없으면 공동 계약 기반 Mock/Fixture로 진행하고 차단 사유를 기록</x:v>
      </x:c>
    </x:row>
    <x:row r="226" ht="72" customHeight="1">
      <x:c r="A226" s="45" t="str">
        <x:v>18일차</x:v>
      </x:c>
      <x:c r="B226" s="45" t="n">
        <x:v>1</x:v>
      </x:c>
      <x:c r="C226" s="45" t="str">
        <x:v>AI·ML</x:v>
      </x:c>
      <x:c r="D226" s="45" t="str">
        <x:v>D18-AI-01</x:v>
      </x:c>
      <x:c r="E226" s="45" t="str">
        <x:v>라우팅</x:v>
      </x:c>
      <x:c r="F226" s="45" t="str">
        <x:v>confidence 기반 Agent 분기</x:v>
      </x:c>
      <x:c r="G226" s="45" t="str">
        <x:v>high만 draft/proposal, medium은 근거 보강, low/stale/high-risk는 review/stop으로 보낸다.</x:v>
      </x:c>
      <x:c r="H226" s="45" t="str">
        <x:v>ai/agents/routing.py</x:v>
      </x:c>
      <x:c r="I226" s="45" t="str">
        <x:v>FR-AI-004 · 04 §9, 06 전체, 09 §5.6·8</x:v>
      </x:c>
      <x:c r="J226" s="45" t="str">
        <x:v>ai/agents/routing.py</x:v>
      </x:c>
      <x:c r="K226" s="45" t="str">
        <x:v>pytest ai/tests/agents/test_confidence_routing.py -q</x:v>
      </x:c>
      <x:c r="L226" s="45" t="str">
        <x:v>금지 상태 우회 0건</x:v>
      </x:c>
      <x:c r="M226" s="45" t="str">
        <x:v>Production 쓰기 없음</x:v>
      </x:c>
      <x:c r="N226" s="45" t="str">
        <x:v>미착수</x:v>
      </x:c>
      <x:c r="O226" s="45"/>
      <x:c r="P226" s="45"/>
      <x:c r="Q226" s="45" t="str">
        <x:v>공동 계약 v0.1과 해당 Fixture/Mock 준비</x:v>
      </x:c>
      <x:c r="R226" s="45" t="str">
        <x:v>다른 트랙 결과가 없으면 공동 계약 기반 Mock/Fixture로 진행하고 차단 사유를 기록</x:v>
      </x:c>
    </x:row>
    <x:row r="227" ht="72" customHeight="1">
      <x:c r="A227" s="45" t="str">
        <x:v>18일차</x:v>
      </x:c>
      <x:c r="B227" s="45" t="n">
        <x:v>2</x:v>
      </x:c>
      <x:c r="C227" s="45" t="str">
        <x:v>AI·ML</x:v>
      </x:c>
      <x:c r="D227" s="45" t="str">
        <x:v>D18-AI-02</x:v>
      </x:c>
      <x:c r="E227" s="45" t="str">
        <x:v>모델선택</x:v>
      </x:c>
      <x:c r="F227" s="45" t="str">
        <x:v>Rule→sLLM→Small→Large 정책 구현</x:v>
      </x:c>
      <x:c r="G227" s="45" t="str">
        <x:v>작업 복잡도·risk·context length·confidence로 필요한 최소 모델만 선택한다.</x:v>
      </x:c>
      <x:c r="H227" s="45" t="str">
        <x:v>ai/router/model_router.py</x:v>
      </x:c>
      <x:c r="I227" s="45" t="str">
        <x:v>ROUTER-01 · 04 §9, 06 전체, 09 §5.6·8</x:v>
      </x:c>
      <x:c r="J227" s="45" t="str">
        <x:v>ai/router/model_router.py</x:v>
      </x:c>
      <x:c r="K227" s="45" t="str">
        <x:v>pytest ai/tests/router/test_model_router.py -q</x:v>
      </x:c>
      <x:c r="L227" s="45" t="str">
        <x:v>rule 가능 case LLM call=0</x:v>
      </x:c>
      <x:c r="M227" s="45" t="str">
        <x:v>Production 쓰기 없음</x:v>
      </x:c>
      <x:c r="N227" s="45" t="str">
        <x:v>미착수</x:v>
      </x:c>
      <x:c r="O227" s="45"/>
      <x:c r="P227" s="45"/>
      <x:c r="Q227" s="45" t="str">
        <x:v>공동 계약 v0.1과 해당 Fixture/Mock 준비</x:v>
      </x:c>
      <x:c r="R227" s="45" t="str">
        <x:v>다른 트랙 결과가 없으면 공동 계약 기반 Mock/Fixture로 진행하고 차단 사유를 기록</x:v>
      </x:c>
    </x:row>
    <x:row r="228" ht="72" customHeight="1">
      <x:c r="A228" s="45" t="str">
        <x:v>18일차</x:v>
      </x:c>
      <x:c r="B228" s="45" t="n">
        <x:v>3</x:v>
      </x:c>
      <x:c r="C228" s="45" t="str">
        <x:v>AI·ML</x:v>
      </x:c>
      <x:c r="D228" s="45" t="str">
        <x:v>D18-AI-03</x:v>
      </x:c>
      <x:c r="E228" s="45" t="str">
        <x:v>안전</x:v>
      </x:c>
      <x:c r="F228" s="45" t="str">
        <x:v>Safety Gate node 구현</x:v>
      </x:c>
      <x:c r="G228" s="45" t="str">
        <x:v>environment, action risk, source freshness, confidence, approval, kill switch를 순서대로 검사한다.</x:v>
      </x:c>
      <x:c r="H228" s="45" t="str">
        <x:v>ai/agents/nodes/safety_gate.py</x:v>
      </x:c>
      <x:c r="I228" s="45" t="str">
        <x:v>06 §10 · 04 §9, 06 전체, 09 §5.6·8</x:v>
      </x:c>
      <x:c r="J228" s="45" t="str">
        <x:v>ai/agents/nodes/safety_gate.py</x:v>
      </x:c>
      <x:c r="K228" s="45" t="str">
        <x:v>pytest ai/tests/safety/test_agent_safety_gate.py -q</x:v>
      </x:c>
      <x:c r="L228" s="45" t="str">
        <x:v>R2/R3 Production tool call 0</x:v>
      </x:c>
      <x:c r="M228" s="45" t="str">
        <x:v>Production 쓰기 없음</x:v>
      </x:c>
      <x:c r="N228" s="45" t="str">
        <x:v>미착수</x:v>
      </x:c>
      <x:c r="O228" s="45"/>
      <x:c r="P228" s="45"/>
      <x:c r="Q228" s="45" t="str">
        <x:v>공동 계약 v0.1과 해당 Fixture/Mock 준비</x:v>
      </x:c>
      <x:c r="R228" s="45" t="str">
        <x:v>다른 트랙 결과가 없으면 공동 계약 기반 Mock/Fixture로 진행하고 차단 사유를 기록</x:v>
      </x:c>
    </x:row>
    <x:row r="229" ht="72" customHeight="1">
      <x:c r="A229" s="45" t="str">
        <x:v>18일차</x:v>
      </x:c>
      <x:c r="B229" s="45" t="n">
        <x:v>4</x:v>
      </x:c>
      <x:c r="C229" s="45" t="str">
        <x:v>AI·ML</x:v>
      </x:c>
      <x:c r="D229" s="45" t="str">
        <x:v>D18-AI-04</x:v>
      </x:c>
      <x:c r="E229" s="45" t="str">
        <x:v>실패</x:v>
      </x:c>
      <x:c r="F229" s="45" t="str">
        <x:v>Agent failure matrix 실행</x:v>
      </x:c>
      <x:c r="G229" s="45" t="str">
        <x:v>timeout, malformed JSON, tool 409/500, duplicate, expired approval, resume를 scenario로 실행한다.</x:v>
      </x:c>
      <x:c r="H229" s="45" t="str">
        <x:v>artifacts/experiments/AGENT-01/result.json</x:v>
      </x:c>
      <x:c r="I229" s="45" t="str">
        <x:v>AGENT-01 · 04 §9, 06 전체, 09 §5.6·8</x:v>
      </x:c>
      <x:c r="J229" s="45" t="str">
        <x:v>artifacts/experiments/AGENT-01/result.json</x:v>
      </x:c>
      <x:c r="K229" s="45" t="str">
        <x:v>make eval-agent-failures</x:v>
      </x:c>
      <x:c r="L229" s="45" t="str">
        <x:v>성공률·복구율·tool count·latency</x:v>
      </x:c>
      <x:c r="M229" s="45" t="str">
        <x:v>Production 쓰기 없음</x:v>
      </x:c>
      <x:c r="N229" s="45" t="str">
        <x:v>미착수</x:v>
      </x:c>
      <x:c r="O229" s="45"/>
      <x:c r="P229" s="45"/>
      <x:c r="Q229" s="45" t="str">
        <x:v>공동 계약 v0.1과 해당 Fixture/Mock 준비</x:v>
      </x:c>
      <x:c r="R229" s="45" t="str">
        <x:v>다른 트랙 결과가 없으면 공동 계약 기반 Mock/Fixture로 진행하고 차단 사유를 기록</x:v>
      </x:c>
    </x:row>
    <x:row r="230" ht="72" customHeight="1">
      <x:c r="A230" s="45" t="str">
        <x:v>18일차</x:v>
      </x:c>
      <x:c r="B230" s="45" t="n">
        <x:v>5</x:v>
      </x:c>
      <x:c r="C230" s="45" t="str">
        <x:v>AI·ML</x:v>
      </x:c>
      <x:c r="D230" s="45" t="str">
        <x:v>D18-AI-05</x:v>
      </x:c>
      <x:c r="E230" s="45" t="str">
        <x:v>판정</x:v>
      </x:c>
      <x:c r="F230" s="45" t="str">
        <x:v>ReAct 사용 범위 결정</x:v>
      </x:c>
      <x:c r="G230" s="45" t="str">
        <x:v>여러 도구 순서가 필요한 운영 분석에만 제한하고 단순 분류/RAG에는 쓰지 않는 이유를 기록한다.</x:v>
      </x:c>
      <x:c r="H230" s="45" t="str">
        <x:v>artifacts/experiments/AGENT-01/decision.md</x:v>
      </x:c>
      <x:c r="I230" s="45" t="str">
        <x:v>04 §4.1·9 · 04 §9, 06 전체, 09 §5.6·8</x:v>
      </x:c>
      <x:c r="J230" s="45" t="str">
        <x:v>artifacts/experiments/AGENT-01/decision.md</x:v>
      </x:c>
      <x:c r="K230" s="45" t="str">
        <x:v>make eval-report EXP=AGENT-01</x:v>
      </x:c>
      <x:c r="L230" s="45" t="str">
        <x:v>사용·미사용 Task 명시</x:v>
      </x:c>
      <x:c r="M230" s="45" t="str">
        <x:v>Production 쓰기 없음</x:v>
      </x:c>
      <x:c r="N230" s="45" t="str">
        <x:v>미착수</x:v>
      </x:c>
      <x:c r="O230" s="45"/>
      <x:c r="P230" s="45"/>
      <x:c r="Q230" s="45" t="str">
        <x:v>공동 계약 v0.1과 해당 Fixture/Mock 준비</x:v>
      </x:c>
      <x:c r="R230" s="45" t="str">
        <x:v>다른 트랙 결과가 없으면 공동 계약 기반 Mock/Fixture로 진행하고 차단 사유를 기록</x:v>
      </x:c>
    </x:row>
    <x:row r="231" ht="72" customHeight="1">
      <x:c r="A231" s="46" t="str">
        <x:v>18일차</x:v>
      </x:c>
      <x:c r="B231" s="46" t="n">
        <x:v>1</x:v>
      </x:c>
      <x:c r="C231" s="46" t="str">
        <x:v>백엔드·데이터</x:v>
      </x:c>
      <x:c r="D231" s="46" t="str">
        <x:v>D18-BE-01</x:v>
      </x:c>
      <x:c r="E231" s="46" t="str">
        <x:v>승인</x:v>
      </x:c>
      <x:c r="F231" s="46" t="str">
        <x:v>제안 승인·수정·거절 API</x:v>
      </x:c>
      <x:c r="G231" s="46" t="str">
        <x:v>actor, decision, before/after, reason, expires_at, payload_hash를 append-only로 저장한다.</x:v>
      </x:c>
      <x:c r="H231" s="46" t="str">
        <x:v>backend/app/routes/approvals.py</x:v>
      </x:c>
      <x:c r="I231" s="46" t="str">
        <x:v>FR-APR-001 · 04 §9, 06 전체, 09 §5.6·8</x:v>
      </x:c>
      <x:c r="J231" s="46" t="str">
        <x:v>backend/app/routes/approvals.py</x:v>
      </x:c>
      <x:c r="K231" s="46" t="str">
        <x:v>pytest backend/tests/api/test_approvals.py -q</x:v>
      </x:c>
      <x:c r="L231" s="46" t="str">
        <x:v>만료·재사용·tamper 거부</x:v>
      </x:c>
      <x:c r="M231" s="46" t="str">
        <x:v>Production 쓰기 없음</x:v>
      </x:c>
      <x:c r="N231" s="46" t="str">
        <x:v>미착수</x:v>
      </x:c>
      <x:c r="O231" s="46"/>
      <x:c r="P231" s="46"/>
      <x:c r="Q231" s="46" t="str">
        <x:v>공동 계약 v0.1과 해당 Fixture/Mock 준비</x:v>
      </x:c>
      <x:c r="R231" s="46" t="str">
        <x:v>다른 트랙 결과가 없으면 공동 계약 기반 Mock/Fixture로 진행하고 차단 사유를 기록</x:v>
      </x:c>
    </x:row>
    <x:row r="232" ht="72" customHeight="1">
      <x:c r="A232" s="46" t="str">
        <x:v>18일차</x:v>
      </x:c>
      <x:c r="B232" s="46" t="n">
        <x:v>2</x:v>
      </x:c>
      <x:c r="C232" s="46" t="str">
        <x:v>백엔드·데이터</x:v>
      </x:c>
      <x:c r="D232" s="46" t="str">
        <x:v>D18-BE-02</x:v>
      </x:c>
      <x:c r="E232" s="46" t="str">
        <x:v>정책</x:v>
      </x:c>
      <x:c r="F232" s="46" t="str">
        <x:v>Action policy engine</x:v>
      </x:c>
      <x:c r="G232" s="46" t="str">
        <x:v>R0/R1/R2/R3와 environment를 입력받아 allow/deny/review reason을 반환한다.</x:v>
      </x:c>
      <x:c r="H232" s="46" t="str">
        <x:v>backend/app/policies/action_policy.py</x:v>
      </x:c>
      <x:c r="I232" s="46" t="str">
        <x:v>06 §6 · 04 §9, 06 전체, 09 §5.6·8</x:v>
      </x:c>
      <x:c r="J232" s="46" t="str">
        <x:v>backend/app/policies/action_policy.py</x:v>
      </x:c>
      <x:c r="K232" s="46" t="str">
        <x:v>pytest backend/tests/safety/test_action_policy_matrix.py -q</x:v>
      </x:c>
      <x:c r="L232" s="46" t="str">
        <x:v>정책표 모든 조합 테스트</x:v>
      </x:c>
      <x:c r="M232" s="46" t="str">
        <x:v>Production 쓰기 없음</x:v>
      </x:c>
      <x:c r="N232" s="46" t="str">
        <x:v>미착수</x:v>
      </x:c>
      <x:c r="O232" s="46"/>
      <x:c r="P232" s="46"/>
      <x:c r="Q232" s="46" t="str">
        <x:v>공동 계약 v0.1과 해당 Fixture/Mock 준비</x:v>
      </x:c>
      <x:c r="R232" s="46" t="str">
        <x:v>다른 트랙 결과가 없으면 공동 계약 기반 Mock/Fixture로 진행하고 차단 사유를 기록</x:v>
      </x:c>
    </x:row>
    <x:row r="233" ht="72" customHeight="1">
      <x:c r="A233" s="46" t="str">
        <x:v>18일차</x:v>
      </x:c>
      <x:c r="B233" s="46" t="n">
        <x:v>3</x:v>
      </x:c>
      <x:c r="C233" s="46" t="str">
        <x:v>백엔드·데이터</x:v>
      </x:c>
      <x:c r="D233" s="46" t="str">
        <x:v>D18-BE-03</x:v>
      </x:c>
      <x:c r="E233" s="46" t="str">
        <x:v>관문</x:v>
      </x:c>
      <x:c r="F233" s="46" t="str">
        <x:v>Write Gateway 인터페이스·Demo stub</x:v>
      </x:c>
      <x:c r="G233" s="46" t="str">
        <x:v>Core Build는 DemoProvider만 effect를 기록하고 Production adapter는 구현·노출하지 않는다.</x:v>
      </x:c>
      <x:c r="H233" s="46" t="str">
        <x:v>backend/app/gateways/write_gateway.py</x:v>
      </x:c>
      <x:c r="I233" s="46" t="str">
        <x:v>FR-INV-005 · 04 §9, 06 전체, 09 §5.6·8</x:v>
      </x:c>
      <x:c r="J233" s="46" t="str">
        <x:v>backend/app/gateways/write_gateway.py</x:v>
      </x:c>
      <x:c r="K233" s="46" t="str">
        <x:v>pytest backend/tests/safety/test_write_gateway.py -q</x:v>
      </x:c>
      <x:c r="L233" s="46" t="str">
        <x:v>Production 호출 경로 없음</x:v>
      </x:c>
      <x:c r="M233" s="46" t="str">
        <x:v>Production 쓰기 없음</x:v>
      </x:c>
      <x:c r="N233" s="46" t="str">
        <x:v>미착수</x:v>
      </x:c>
      <x:c r="O233" s="46"/>
      <x:c r="P233" s="46"/>
      <x:c r="Q233" s="46" t="str">
        <x:v>공동 계약 v0.1과 해당 Fixture/Mock 준비</x:v>
      </x:c>
      <x:c r="R233" s="46" t="str">
        <x:v>다른 트랙 결과가 없으면 공동 계약 기반 Mock/Fixture로 진행하고 차단 사유를 기록</x:v>
      </x:c>
    </x:row>
    <x:row r="234" ht="72" customHeight="1">
      <x:c r="A234" s="46" t="str">
        <x:v>18일차</x:v>
      </x:c>
      <x:c r="B234" s="46" t="n">
        <x:v>4</x:v>
      </x:c>
      <x:c r="C234" s="46" t="str">
        <x:v>백엔드·데이터</x:v>
      </x:c>
      <x:c r="D234" s="46" t="str">
        <x:v>D18-BE-04</x:v>
      </x:c>
      <x:c r="E234" s="46" t="str">
        <x:v>차단</x:v>
      </x:c>
      <x:c r="F234" s="46" t="str">
        <x:v>global/provider/AI/workflow kill switch</x:v>
      </x:c>
      <x:c r="G234" s="46" t="str">
        <x:v>기본값을 안전하게 설정하고 변경 actor·reason·audit를 요구한다.</x:v>
      </x:c>
      <x:c r="H234" s="46" t="str">
        <x:v>backend/app/services/kill_switch.py</x:v>
      </x:c>
      <x:c r="I234" s="46" t="str">
        <x:v>06 §4.3 · 04 §9, 06 전체, 09 §5.6·8</x:v>
      </x:c>
      <x:c r="J234" s="46" t="str">
        <x:v>backend/app/services/kill_switch.py</x:v>
      </x:c>
      <x:c r="K234" s="46" t="str">
        <x:v>pytest backend/tests/safety/test_kill_switch.py -q</x:v>
      </x:c>
      <x:c r="L234" s="46" t="str">
        <x:v>Global write kill 항상 ON</x:v>
      </x:c>
      <x:c r="M234" s="46" t="str">
        <x:v>Production 쓰기 없음</x:v>
      </x:c>
      <x:c r="N234" s="46" t="str">
        <x:v>미착수</x:v>
      </x:c>
      <x:c r="O234" s="46"/>
      <x:c r="P234" s="46"/>
      <x:c r="Q234" s="46" t="str">
        <x:v>공동 계약 v0.1과 해당 Fixture/Mock 준비</x:v>
      </x:c>
      <x:c r="R234" s="46" t="str">
        <x:v>다른 트랙 결과가 없으면 공동 계약 기반 Mock/Fixture로 진행하고 차단 사유를 기록</x:v>
      </x:c>
    </x:row>
    <x:row r="235" ht="72" customHeight="1">
      <x:c r="A235" s="46" t="str">
        <x:v>18일차</x:v>
      </x:c>
      <x:c r="B235" s="46" t="n">
        <x:v>5</x:v>
      </x:c>
      <x:c r="C235" s="46" t="str">
        <x:v>백엔드·데이터</x:v>
      </x:c>
      <x:c r="D235" s="46" t="str">
        <x:v>D18-BE-05</x:v>
      </x:c>
      <x:c r="E235" s="46" t="str">
        <x:v>Chaos</x:v>
      </x:c>
      <x:c r="F235" s="46" t="str">
        <x:v>승인·도구·재개 통합 실패 시험</x:v>
      </x:c>
      <x:c r="G235" s="46" t="str">
        <x:v>중복승인, 만료, tool timeout, resume를 주입해 효과 1회와 안전 종료를 검증한다.</x:v>
      </x:c>
      <x:c r="H235" s="46" t="str">
        <x:v>backend/tests/integration/test_day18_safety.py</x:v>
      </x:c>
      <x:c r="I235" s="46" t="str">
        <x:v>09 §8 · 04 §9, 06 전체, 09 §5.6·8</x:v>
      </x:c>
      <x:c r="J235" s="46" t="str">
        <x:v>backend/tests/integration/test_day18_safety.py</x:v>
      </x:c>
      <x:c r="K235" s="46" t="str">
        <x:v>pytest backend/tests/integration/test_day18_safety.py -q</x:v>
      </x:c>
      <x:c r="L235" s="46" t="str">
        <x:v>prohibited miss=0</x:v>
      </x:c>
      <x:c r="M235" s="46" t="str">
        <x:v>Production 쓰기 없음</x:v>
      </x:c>
      <x:c r="N235" s="46" t="str">
        <x:v>미착수</x:v>
      </x:c>
      <x:c r="O235" s="46"/>
      <x:c r="P235" s="46"/>
      <x:c r="Q235" s="46" t="str">
        <x:v>공동 계약 v0.1과 해당 Fixture/Mock 준비</x:v>
      </x:c>
      <x:c r="R235" s="46" t="str">
        <x:v>다른 트랙 결과가 없으면 공동 계약 기반 Mock/Fixture로 진행하고 차단 사유를 기록</x:v>
      </x:c>
    </x:row>
    <x:row r="236" ht="72" customHeight="1">
      <x:c r="A236" s="47" t="str">
        <x:v>18일차</x:v>
      </x:c>
      <x:c r="B236" s="47" t="n">
        <x:v>1</x:v>
      </x:c>
      <x:c r="C236" s="47" t="str">
        <x:v>프론트엔드·제품</x:v>
      </x:c>
      <x:c r="D236" s="47" t="str">
        <x:v>D18-FE-01</x:v>
      </x:c>
      <x:c r="E236" s="47" t="str">
        <x:v>승인</x:v>
      </x:c>
      <x:c r="F236" s="47" t="str">
        <x:v>제안 검토 화면</x:v>
      </x:c>
      <x:c r="G236" s="47" t="str">
        <x:v>before/after, 영향, confidence, evidence, 정책 결과를 보고 Demo 내부 승인·수정·거절한다.</x:v>
      </x:c>
      <x:c r="H236" s="47" t="str">
        <x:v>frontend/src/app/pages/SettingsPage.tsx · frontend/src/features/approvals/ApprovalQueue.tsx</x:v>
      </x:c>
      <x:c r="I236" s="47" t="str">
        <x:v>07 §12 · 04 §9, 06 전체, 09 §5.6·8</x:v>
      </x:c>
      <x:c r="J236" s="47" t="str">
        <x:v>frontend/src/app/approvals/page.tsx</x:v>
      </x:c>
      <x:c r="K236" s="47" t="str">
        <x:v>npm --prefix frontend test -- ApprovalPage</x:v>
      </x:c>
      <x:c r="L236" s="47" t="str">
        <x:v>고위험은 승인해도 외부 실행 안 됨</x:v>
      </x:c>
      <x:c r="M236" s="47" t="str">
        <x:v>Production 쓰기 없음</x:v>
      </x:c>
      <x:c r="N236" s="47" t="str">
        <x:v>미착수</x:v>
      </x:c>
      <x:c r="O236" s="47"/>
      <x:c r="P236" s="47"/>
      <x:c r="Q236" s="47" t="str">
        <x:v>공동 계약 v0.1과 해당 Fixture/Mock 준비</x:v>
      </x:c>
      <x:c r="R236" s="47" t="str">
        <x:v>다른 트랙 결과가 없으면 공동 계약 기반 Mock/Fixture로 진행하고 차단 사유를 기록</x:v>
      </x:c>
    </x:row>
    <x:row r="237" ht="72" customHeight="1">
      <x:c r="A237" s="47" t="str">
        <x:v>18일차</x:v>
      </x:c>
      <x:c r="B237" s="47" t="n">
        <x:v>2</x:v>
      </x:c>
      <x:c r="C237" s="47" t="str">
        <x:v>프론트엔드·제품</x:v>
      </x:c>
      <x:c r="D237" s="47" t="str">
        <x:v>D18-FE-02</x:v>
      </x:c>
      <x:c r="E237" s="47" t="str">
        <x:v>차단</x:v>
      </x:c>
      <x:c r="F237" s="47" t="str">
        <x:v>Kill switch·정책 거부 표시</x:v>
      </x:c>
      <x:c r="G237" s="47" t="str">
        <x:v>무엇이 왜 차단됐고 어떤 기능은 계속 가능한지 보여준다.</x:v>
      </x:c>
      <x:c r="H237" s="47" t="str">
        <x:v>frontend/src/features/safety/SafetyStatus.tsx</x:v>
      </x:c>
      <x:c r="I237" s="47" t="str">
        <x:v>06 §4.3 · 04 §9, 06 전체, 09 §5.6·8</x:v>
      </x:c>
      <x:c r="J237" s="47" t="str">
        <x:v>frontend/src/features/safety/SafetyStatus.tsx</x:v>
      </x:c>
      <x:c r="K237" s="47" t="str">
        <x:v>npm --prefix frontend test -- SafetyStatus</x:v>
      </x:c>
      <x:c r="L237" s="47" t="str">
        <x:v>색상 외 텍스트·reason 표시</x:v>
      </x:c>
      <x:c r="M237" s="47" t="str">
        <x:v>Production 쓰기 없음</x:v>
      </x:c>
      <x:c r="N237" s="47" t="str">
        <x:v>미착수</x:v>
      </x:c>
      <x:c r="O237" s="47"/>
      <x:c r="P237" s="47"/>
      <x:c r="Q237" s="47" t="str">
        <x:v>공동 계약 v0.1과 해당 Fixture/Mock 준비</x:v>
      </x:c>
      <x:c r="R237" s="47" t="str">
        <x:v>다른 트랙 결과가 없으면 공동 계약 기반 Mock/Fixture로 진행하고 차단 사유를 기록</x:v>
      </x:c>
    </x:row>
    <x:row r="238" ht="72" customHeight="1">
      <x:c r="A238" s="47" t="str">
        <x:v>18일차</x:v>
      </x:c>
      <x:c r="B238" s="47" t="n">
        <x:v>3</x:v>
      </x:c>
      <x:c r="C238" s="47" t="str">
        <x:v>프론트엔드·제품</x:v>
      </x:c>
      <x:c r="D238" s="47" t="str">
        <x:v>D18-FE-03</x:v>
      </x:c>
      <x:c r="E238" s="47" t="str">
        <x:v>감사</x:v>
      </x:c>
      <x:c r="F238" s="47" t="str">
        <x:v>감사 기록 조회</x:v>
      </x:c>
      <x:c r="G238" s="47" t="str">
        <x:v>actor/action/target/outcome/policy/correlation을 read-only로 검색한다.</x:v>
      </x:c>
      <x:c r="H238" s="47" t="str">
        <x:v>frontend/src/app/pages/SettingsPage.tsx · frontend/src/features/safety/AuditLog.tsx</x:v>
      </x:c>
      <x:c r="I238" s="47" t="str">
        <x:v>06 §11 · 04 §9, 06 전체, 09 §5.6·8</x:v>
      </x:c>
      <x:c r="J238" s="47" t="str">
        <x:v>frontend/src/app/settings/audit/page.tsx</x:v>
      </x:c>
      <x:c r="K238" s="47" t="str">
        <x:v>npm --prefix frontend test -- AuditPage</x:v>
      </x:c>
      <x:c r="L238" s="47" t="str">
        <x:v>민감 payload 원문 표시 0</x:v>
      </x:c>
      <x:c r="M238" s="47" t="str">
        <x:v>Production 쓰기 없음</x:v>
      </x:c>
      <x:c r="N238" s="47" t="str">
        <x:v>미착수</x:v>
      </x:c>
      <x:c r="O238" s="47"/>
      <x:c r="P238" s="47"/>
      <x:c r="Q238" s="47" t="str">
        <x:v>공동 계약 v0.1과 해당 Fixture/Mock 준비</x:v>
      </x:c>
      <x:c r="R238" s="47" t="str">
        <x:v>다른 트랙 결과가 없으면 공동 계약 기반 Mock/Fixture로 진행하고 차단 사유를 기록</x:v>
      </x:c>
    </x:row>
    <x:row r="239" ht="72" customHeight="1">
      <x:c r="A239" s="45" t="str">
        <x:v>19일차</x:v>
      </x:c>
      <x:c r="B239" s="45" t="n">
        <x:v>1</x:v>
      </x:c>
      <x:c r="C239" s="45" t="str">
        <x:v>AI·ML</x:v>
      </x:c>
      <x:c r="D239" s="45" t="str">
        <x:v>D19-AI-01</x:v>
      </x:c>
      <x:c r="E239" s="45" t="str">
        <x:v>기준선</x:v>
      </x:c>
      <x:c r="F239" s="45" t="str">
        <x:v>Large LLM only 실행</x:v>
      </x:c>
      <x:c r="G239" s="45" t="str">
        <x:v>동일 mixed workload에서 모든 비규칙 Task를 대형모델로 처리한다.</x:v>
      </x:c>
      <x:c r="H239" s="45" t="str">
        <x:v>artifacts/experiments/ROUTER-01/large_only.json</x:v>
      </x:c>
      <x:c r="I239" s="45" t="str">
        <x:v>ROUTER-01 · 04 §11~12, 03 §9, 10 §11</x:v>
      </x:c>
      <x:c r="J239" s="45" t="str">
        <x:v>artifacts/experiments/ROUTER-01/large_only.json</x:v>
      </x:c>
      <x:c r="K239" s="45" t="str">
        <x:v>make eval-router MODE=large_only</x:v>
      </x:c>
      <x:c r="L239" s="45" t="str">
        <x:v>품질·token·cost·p50/p95·call count</x:v>
      </x:c>
      <x:c r="M239" s="45" t="str">
        <x:v>Production 쓰기 없음</x:v>
      </x:c>
      <x:c r="N239" s="45" t="str">
        <x:v>미착수</x:v>
      </x:c>
      <x:c r="O239" s="45"/>
      <x:c r="P239" s="45"/>
      <x:c r="Q239" s="45" t="str">
        <x:v>공동 계약 v0.1과 해당 Fixture/Mock 준비</x:v>
      </x:c>
      <x:c r="R239" s="45" t="str">
        <x:v>다른 트랙 결과가 없으면 공동 계약 기반 Mock/Fixture로 진행하고 차단 사유를 기록</x:v>
      </x:c>
    </x:row>
    <x:row r="240" ht="72" customHeight="1">
      <x:c r="A240" s="45" t="str">
        <x:v>19일차</x:v>
      </x:c>
      <x:c r="B240" s="45" t="n">
        <x:v>2</x:v>
      </x:c>
      <x:c r="C240" s="45" t="str">
        <x:v>AI·ML</x:v>
      </x:c>
      <x:c r="D240" s="45" t="str">
        <x:v>D19-AI-02</x:v>
      </x:c>
      <x:c r="E240" s="45" t="str">
        <x:v>후보</x:v>
      </x:c>
      <x:c r="F240" s="45" t="str">
        <x:v>Model Router 실행</x:v>
      </x:c>
      <x:c r="G240" s="45" t="str">
        <x:v>Rule/SQL, sLLM, small RAG, large 판단 단계로 같은 workload를 처리한다.</x:v>
      </x:c>
      <x:c r="H240" s="45" t="str">
        <x:v>artifacts/experiments/ROUTER-01/routed.json</x:v>
      </x:c>
      <x:c r="I240" s="45" t="str">
        <x:v>ROUTER-01 · 04 §11~12, 03 §9, 10 §11</x:v>
      </x:c>
      <x:c r="J240" s="45" t="str">
        <x:v>artifacts/experiments/ROUTER-01/routed.json</x:v>
      </x:c>
      <x:c r="K240" s="45" t="str">
        <x:v>make eval-router MODE=routed</x:v>
      </x:c>
      <x:c r="L240" s="45" t="str">
        <x:v>route별 품질·호출·비용</x:v>
      </x:c>
      <x:c r="M240" s="45" t="str">
        <x:v>Production 쓰기 없음</x:v>
      </x:c>
      <x:c r="N240" s="45" t="str">
        <x:v>미착수</x:v>
      </x:c>
      <x:c r="O240" s="45"/>
      <x:c r="P240" s="45"/>
      <x:c r="Q240" s="45" t="str">
        <x:v>공동 계약 v0.1과 해당 Fixture/Mock 준비</x:v>
      </x:c>
      <x:c r="R240" s="45" t="str">
        <x:v>다른 트랙 결과가 없으면 공동 계약 기반 Mock/Fixture로 진행하고 차단 사유를 기록</x:v>
      </x:c>
    </x:row>
    <x:row r="241" ht="72" customHeight="1">
      <x:c r="A241" s="45" t="str">
        <x:v>19일차</x:v>
      </x:c>
      <x:c r="B241" s="45" t="n">
        <x:v>3</x:v>
      </x:c>
      <x:c r="C241" s="45" t="str">
        <x:v>AI·ML</x:v>
      </x:c>
      <x:c r="D241" s="45" t="str">
        <x:v>D19-AI-03</x:v>
      </x:c>
      <x:c r="E241" s="45" t="str">
        <x:v>캐시</x:v>
      </x:c>
      <x:c r="F241" s="45" t="str">
        <x:v>Retrieval·response cache benchmark</x:v>
      </x:c>
      <x:c r="G241" s="45" t="str">
        <x:v>tenant·version·freshness를 key에 포함하고 stale invalidation을 시험한다.</x:v>
      </x:c>
      <x:c r="H241" s="45" t="str">
        <x:v>ai/router/cache.py</x:v>
      </x:c>
      <x:c r="I241" s="45" t="str">
        <x:v>04 §5.6·11 · 04 §11~12, 03 §9, 10 §11</x:v>
      </x:c>
      <x:c r="J241" s="45" t="str">
        <x:v>ai/router/cache.py</x:v>
      </x:c>
      <x:c r="K241" s="45" t="str">
        <x:v>make eval-cache</x:v>
      </x:c>
      <x:c r="L241" s="45" t="str">
        <x:v>hit rate·오염 0·token 절감</x:v>
      </x:c>
      <x:c r="M241" s="45" t="str">
        <x:v>Production 쓰기 없음</x:v>
      </x:c>
      <x:c r="N241" s="45" t="str">
        <x:v>미착수</x:v>
      </x:c>
      <x:c r="O241" s="45"/>
      <x:c r="P241" s="45"/>
      <x:c r="Q241" s="45" t="str">
        <x:v>공동 계약 v0.1과 해당 Fixture/Mock 준비</x:v>
      </x:c>
      <x:c r="R241" s="45" t="str">
        <x:v>다른 트랙 결과가 없으면 공동 계약 기반 Mock/Fixture로 진행하고 차단 사유를 기록</x:v>
      </x:c>
    </x:row>
    <x:row r="242" ht="72" customHeight="1">
      <x:c r="A242" s="45" t="str">
        <x:v>19일차</x:v>
      </x:c>
      <x:c r="B242" s="45" t="n">
        <x:v>4</x:v>
      </x:c>
      <x:c r="C242" s="45" t="str">
        <x:v>AI·ML</x:v>
      </x:c>
      <x:c r="D242" s="45" t="str">
        <x:v>D19-AI-04</x:v>
      </x:c>
      <x:c r="E242" s="45" t="str">
        <x:v>평가</x:v>
      </x:c>
      <x:c r="F242" s="45" t="str">
        <x:v>Router 품질·비용 비교</x:v>
      </x:c>
      <x:c r="G242" s="45" t="str">
        <x:v>Large only 대비 품질 허용범위, 비용감소, 평균 token, latency, large call rate를 계산한다.</x:v>
      </x:c>
      <x:c r="H242" s="45" t="str">
        <x:v>artifacts/experiments/ROUTER-01/result.json</x:v>
      </x:c>
      <x:c r="I242" s="45" t="str">
        <x:v>09 §5.7 · 04 §11~12, 03 §9, 10 §11</x:v>
      </x:c>
      <x:c r="J242" s="45" t="str">
        <x:v>artifacts/experiments/ROUTER-01/result.json</x:v>
      </x:c>
      <x:c r="K242" s="45" t="str">
        <x:v>make eval-report EXP=ROUTER-01</x:v>
      </x:c>
      <x:c r="L242" s="45" t="str">
        <x:v>95% CI·오류 route·절감률</x:v>
      </x:c>
      <x:c r="M242" s="45" t="str">
        <x:v>Production 쓰기 없음</x:v>
      </x:c>
      <x:c r="N242" s="45" t="str">
        <x:v>미착수</x:v>
      </x:c>
      <x:c r="O242" s="45"/>
      <x:c r="P242" s="45"/>
      <x:c r="Q242" s="45" t="str">
        <x:v>공동 계약 v0.1과 해당 Fixture/Mock 준비</x:v>
      </x:c>
      <x:c r="R242" s="45" t="str">
        <x:v>다른 트랙 결과가 없으면 공동 계약 기반 Mock/Fixture로 진행하고 차단 사유를 기록</x:v>
      </x:c>
    </x:row>
    <x:row r="243" ht="72" customHeight="1">
      <x:c r="A243" s="45" t="str">
        <x:v>19일차</x:v>
      </x:c>
      <x:c r="B243" s="45" t="n">
        <x:v>5</x:v>
      </x:c>
      <x:c r="C243" s="45" t="str">
        <x:v>AI·ML</x:v>
      </x:c>
      <x:c r="D243" s="45" t="str">
        <x:v>D19-AI-05</x:v>
      </x:c>
      <x:c r="E243" s="45" t="str">
        <x:v>판정</x:v>
      </x:c>
      <x:c r="F243" s="45" t="str">
        <x:v>작업별 routing 정책 잠금</x:v>
      </x:c>
      <x:c r="G243" s="45" t="str">
        <x:v>품질 저하가 큰 Task만 large를 유지하고 나머지는 최소모델을 선택한다.</x:v>
      </x:c>
      <x:c r="H243" s="45" t="str">
        <x:v>ai/router/ACTIVE_POLICY.yaml</x:v>
      </x:c>
      <x:c r="I243" s="45" t="str">
        <x:v>04 §11.1 · 04 §11~12, 03 §9, 10 §11</x:v>
      </x:c>
      <x:c r="J243" s="45" t="str">
        <x:v>ai/router/ACTIVE_POLICY.yaml</x:v>
      </x:c>
      <x:c r="K243" s="45" t="str">
        <x:v>pytest ai/tests/router/test_active_policy.py -q</x:v>
      </x:c>
      <x:c r="L243" s="45" t="str">
        <x:v>Task별 route reason·fallback</x:v>
      </x:c>
      <x:c r="M243" s="45" t="str">
        <x:v>Production 쓰기 없음</x:v>
      </x:c>
      <x:c r="N243" s="45" t="str">
        <x:v>미착수</x:v>
      </x:c>
      <x:c r="O243" s="45"/>
      <x:c r="P243" s="45"/>
      <x:c r="Q243" s="45" t="str">
        <x:v>공동 계약 v0.1과 해당 Fixture/Mock 준비</x:v>
      </x:c>
      <x:c r="R243" s="45" t="str">
        <x:v>다른 트랙 결과가 없으면 공동 계약 기반 Mock/Fixture로 진행하고 차단 사유를 기록</x:v>
      </x:c>
    </x:row>
    <x:row r="244" ht="72" customHeight="1">
      <x:c r="A244" s="46" t="str">
        <x:v>19일차</x:v>
      </x:c>
      <x:c r="B244" s="46" t="n">
        <x:v>1</x:v>
      </x:c>
      <x:c r="C244" s="46" t="str">
        <x:v>백엔드·데이터</x:v>
      </x:c>
      <x:c r="D244" s="46" t="str">
        <x:v>D19-BE-01</x:v>
      </x:c>
      <x:c r="E244" s="46" t="str">
        <x:v>Telemetry</x:v>
      </x:c>
      <x:c r="F244" s="46" t="str">
        <x:v>Agent/model run 측정 저장</x:v>
      </x:c>
      <x:c r="G244" s="46" t="str">
        <x:v>model, route, input/output token, latency, cost, cache_hit, error, prompt/index version을 저장한다.</x:v>
      </x:c>
      <x:c r="H244" s="46" t="str">
        <x:v>packages/observability/ai_telemetry.py</x:v>
      </x:c>
      <x:c r="I244" s="46" t="str">
        <x:v>FR-AI-002 · 04 §11~12, 03 §9, 10 §11</x:v>
      </x:c>
      <x:c r="J244" s="46" t="str">
        <x:v>packages/observability/ai_telemetry.py</x:v>
      </x:c>
      <x:c r="K244" s="46" t="str">
        <x:v>pytest backend/tests/observability/test_ai_telemetry.py -q</x:v>
      </x:c>
      <x:c r="L244" s="46" t="str">
        <x:v>필수 필드 coverage 100%</x:v>
      </x:c>
      <x:c r="M244" s="46" t="str">
        <x:v>Production 쓰기 없음</x:v>
      </x:c>
      <x:c r="N244" s="46" t="str">
        <x:v>미착수</x:v>
      </x:c>
      <x:c r="O244" s="46"/>
      <x:c r="P244" s="46"/>
      <x:c r="Q244" s="46" t="str">
        <x:v>공동 계약 v0.1과 해당 Fixture/Mock 준비</x:v>
      </x:c>
      <x:c r="R244" s="46" t="str">
        <x:v>다른 트랙 결과가 없으면 공동 계약 기반 Mock/Fixture로 진행하고 차단 사유를 기록</x:v>
      </x:c>
    </x:row>
    <x:row r="245" ht="72" customHeight="1">
      <x:c r="A245" s="46" t="str">
        <x:v>19일차</x:v>
      </x:c>
      <x:c r="B245" s="46" t="n">
        <x:v>2</x:v>
      </x:c>
      <x:c r="C245" s="46" t="str">
        <x:v>백엔드·데이터</x:v>
      </x:c>
      <x:c r="D245" s="46" t="str">
        <x:v>D19-BE-02</x:v>
      </x:c>
      <x:c r="E245" s="46" t="str">
        <x:v>예산</x:v>
      </x:c>
      <x:c r="F245" s="46" t="str">
        <x:v>tenant·일별 AI budget guard</x:v>
      </x:c>
      <x:c r="G245" s="46" t="str">
        <x:v>soft/hard limit과 fallback을 두고 초과 시 large call을 거부한다.</x:v>
      </x:c>
      <x:c r="H245" s="46" t="str">
        <x:v>backend/app/policies/ai_budget.py</x:v>
      </x:c>
      <x:c r="I245" s="46" t="str">
        <x:v>NFR-COST-001 · 04 §11~12, 03 §9, 10 §11</x:v>
      </x:c>
      <x:c r="J245" s="46" t="str">
        <x:v>backend/app/policies/ai_budget.py</x:v>
      </x:c>
      <x:c r="K245" s="46" t="str">
        <x:v>pytest backend/tests/safety/test_ai_budget.py -q</x:v>
      </x:c>
      <x:c r="L245" s="46" t="str">
        <x:v>hard limit 후 large call 0</x:v>
      </x:c>
      <x:c r="M245" s="46" t="str">
        <x:v>Production 쓰기 없음</x:v>
      </x:c>
      <x:c r="N245" s="46" t="str">
        <x:v>미착수</x:v>
      </x:c>
      <x:c r="O245" s="46"/>
      <x:c r="P245" s="46"/>
      <x:c r="Q245" s="46" t="str">
        <x:v>공동 계약 v0.1과 해당 Fixture/Mock 준비</x:v>
      </x:c>
      <x:c r="R245" s="46" t="str">
        <x:v>다른 트랙 결과가 없으면 공동 계약 기반 Mock/Fixture로 진행하고 차단 사유를 기록</x:v>
      </x:c>
    </x:row>
    <x:row r="246" ht="72" customHeight="1">
      <x:c r="A246" s="46" t="str">
        <x:v>19일차</x:v>
      </x:c>
      <x:c r="B246" s="46" t="n">
        <x:v>3</x:v>
      </x:c>
      <x:c r="C246" s="46" t="str">
        <x:v>백엔드·데이터</x:v>
      </x:c>
      <x:c r="D246" s="46" t="str">
        <x:v>D19-BE-03</x:v>
      </x:c>
      <x:c r="E246" s="46" t="str">
        <x:v>캐시</x:v>
      </x:c>
      <x:c r="F246" s="46" t="str">
        <x:v>version/freshness cache key</x:v>
      </x:c>
      <x:c r="G246" s="46" t="str">
        <x:v>tenant, model, prompt, index, source as_of를 포함하고 변경 시 무효화한다.</x:v>
      </x:c>
      <x:c r="H246" s="46" t="str">
        <x:v>packages/cache/keys.py</x:v>
      </x:c>
      <x:c r="I246" s="46" t="str">
        <x:v>04 §5.6 · 04 §11~12, 03 §9, 10 §11</x:v>
      </x:c>
      <x:c r="J246" s="46" t="str">
        <x:v>packages/cache/keys.py</x:v>
      </x:c>
      <x:c r="K246" s="46" t="str">
        <x:v>pytest backend/tests/cache/test_cache_keys.py -q</x:v>
      </x:c>
      <x:c r="L246" s="46" t="str">
        <x:v>tenant·version 오염 0</x:v>
      </x:c>
      <x:c r="M246" s="46" t="str">
        <x:v>Production 쓰기 없음</x:v>
      </x:c>
      <x:c r="N246" s="46" t="str">
        <x:v>미착수</x:v>
      </x:c>
      <x:c r="O246" s="46"/>
      <x:c r="P246" s="46"/>
      <x:c r="Q246" s="46" t="str">
        <x:v>공동 계약 v0.1과 해당 Fixture/Mock 준비</x:v>
      </x:c>
      <x:c r="R246" s="46" t="str">
        <x:v>다른 트랙 결과가 없으면 공동 계약 기반 Mock/Fixture로 진행하고 차단 사유를 기록</x:v>
      </x:c>
    </x:row>
    <x:row r="247" ht="72" customHeight="1">
      <x:c r="A247" s="46" t="str">
        <x:v>19일차</x:v>
      </x:c>
      <x:c r="B247" s="46" t="n">
        <x:v>4</x:v>
      </x:c>
      <x:c r="C247" s="46" t="str">
        <x:v>백엔드·데이터</x:v>
      </x:c>
      <x:c r="D247" s="46" t="str">
        <x:v>D19-BE-04</x:v>
      </x:c>
      <x:c r="E247" s="46" t="str">
        <x:v>API</x:v>
      </x:c>
      <x:c r="F247" s="46" t="str">
        <x:v>평가·비용 summary API</x:v>
      </x:c>
      <x:c r="G247" s="46" t="str">
        <x:v>experiment, route, model별 metric과 비용을 집계해 Demo에 제공한다.</x:v>
      </x:c>
      <x:c r="H247" s="46" t="str">
        <x:v>backend/app/routes/evaluation.py</x:v>
      </x:c>
      <x:c r="I247" s="46" t="str">
        <x:v>10 §9 · 04 §11~12, 03 §9, 10 §11</x:v>
      </x:c>
      <x:c r="J247" s="46" t="str">
        <x:v>backend/app/routes/evaluation.py</x:v>
      </x:c>
      <x:c r="K247" s="46" t="str">
        <x:v>pytest backend/tests/api/test_evaluation.py -q</x:v>
      </x:c>
      <x:c r="L247" s="46" t="str">
        <x:v>실제 비공개 row 노출 0</x:v>
      </x:c>
      <x:c r="M247" s="46" t="str">
        <x:v>Production 쓰기 없음</x:v>
      </x:c>
      <x:c r="N247" s="46" t="str">
        <x:v>미착수</x:v>
      </x:c>
      <x:c r="O247" s="46"/>
      <x:c r="P247" s="46"/>
      <x:c r="Q247" s="46" t="str">
        <x:v>공동 계약 v0.1과 해당 Fixture/Mock 준비</x:v>
      </x:c>
      <x:c r="R247" s="46" t="str">
        <x:v>다른 트랙 결과가 없으면 공동 계약 기반 Mock/Fixture로 진행하고 차단 사유를 기록</x:v>
      </x:c>
    </x:row>
    <x:row r="248" ht="72" customHeight="1">
      <x:c r="A248" s="46" t="str">
        <x:v>19일차</x:v>
      </x:c>
      <x:c r="B248" s="46" t="n">
        <x:v>5</x:v>
      </x:c>
      <x:c r="C248" s="46" t="str">
        <x:v>백엔드·데이터</x:v>
      </x:c>
      <x:c r="D248" s="46" t="str">
        <x:v>D19-BE-05</x:v>
      </x:c>
      <x:c r="E248" s="46" t="str">
        <x:v>성능</x:v>
      </x:c>
      <x:c r="F248" s="46" t="str">
        <x:v>핵심 API p50/p95·query 수</x:v>
      </x:c>
      <x:c r="G248" s="46" t="str">
        <x:v>재고, 예약, 일정, 문의, agent status를 합성부하로 측정한다.</x:v>
      </x:c>
      <x:c r="H248" s="46" t="str">
        <x:v>artifacts/performance/day19.json</x:v>
      </x:c>
      <x:c r="I248" s="46" t="str">
        <x:v>NFR-PERF-001 · 04 §11~12, 03 §9, 10 §11</x:v>
      </x:c>
      <x:c r="J248" s="46" t="str">
        <x:v>artifacts/performance/day19.json</x:v>
      </x:c>
      <x:c r="K248" s="46" t="str">
        <x:v>make benchmark-api</x:v>
      </x:c>
      <x:c r="L248" s="46" t="str">
        <x:v>목표·실측·병목·개선 기록</x:v>
      </x:c>
      <x:c r="M248" s="46" t="str">
        <x:v>Production 쓰기 없음</x:v>
      </x:c>
      <x:c r="N248" s="46" t="str">
        <x:v>미착수</x:v>
      </x:c>
      <x:c r="O248" s="46"/>
      <x:c r="P248" s="46"/>
      <x:c r="Q248" s="46" t="str">
        <x:v>공동 계약 v0.1과 해당 Fixture/Mock 준비</x:v>
      </x:c>
      <x:c r="R248" s="46" t="str">
        <x:v>다른 트랙 결과가 없으면 공동 계약 기반 Mock/Fixture로 진행하고 차단 사유를 기록</x:v>
      </x:c>
    </x:row>
    <x:row r="249" ht="72" customHeight="1">
      <x:c r="A249" s="47" t="str">
        <x:v>19일차</x:v>
      </x:c>
      <x:c r="B249" s="47" t="n">
        <x:v>1</x:v>
      </x:c>
      <x:c r="C249" s="47" t="str">
        <x:v>프론트엔드·제품</x:v>
      </x:c>
      <x:c r="D249" s="47" t="str">
        <x:v>D19-FE-01</x:v>
      </x:c>
      <x:c r="E249" s="47" t="str">
        <x:v>평가</x:v>
      </x:c>
      <x:c r="F249" s="47" t="str">
        <x:v>실험 비교 현황판</x:v>
      </x:c>
      <x:c r="G249" s="47" t="str">
        <x:v>Prompt/RAG/QLoRA/Graph/Memory/Agent/Router의 baseline·후보·결정을 표시한다.</x:v>
      </x:c>
      <x:c r="H249" s="47" t="str">
        <x:v>frontend/src/app/pages/InsightsPage.tsx</x:v>
      </x:c>
      <x:c r="I249" s="47" t="str">
        <x:v>07 §9 · 10 §9 · 04 §11~12, 03 §9, 10 §11</x:v>
      </x:c>
      <x:c r="J249" s="47" t="str">
        <x:v>frontend/src/app/evaluation/page.tsx</x:v>
      </x:c>
      <x:c r="K249" s="47" t="str">
        <x:v>npm --prefix frontend test -- EvaluationPage</x:v>
      </x:c>
      <x:c r="L249" s="47" t="str">
        <x:v>실험 ID·dataset version·decision 표시</x:v>
      </x:c>
      <x:c r="M249" s="47" t="str">
        <x:v>Production 쓰기 없음</x:v>
      </x:c>
      <x:c r="N249" s="47" t="str">
        <x:v>미착수</x:v>
      </x:c>
      <x:c r="O249" s="47"/>
      <x:c r="P249" s="47"/>
      <x:c r="Q249" s="47" t="str">
        <x:v>공동 계약 v0.1과 해당 Fixture/Mock 준비</x:v>
      </x:c>
      <x:c r="R249" s="47" t="str">
        <x:v>다른 트랙 결과가 없으면 공동 계약 기반 Mock/Fixture로 진행하고 차단 사유를 기록</x:v>
      </x:c>
    </x:row>
    <x:row r="250" ht="72" customHeight="1">
      <x:c r="A250" s="47" t="str">
        <x:v>19일차</x:v>
      </x:c>
      <x:c r="B250" s="47" t="n">
        <x:v>2</x:v>
      </x:c>
      <x:c r="C250" s="47" t="str">
        <x:v>프론트엔드·제품</x:v>
      </x:c>
      <x:c r="D250" s="47" t="str">
        <x:v>D19-FE-02</x:v>
      </x:c>
      <x:c r="E250" s="47" t="str">
        <x:v>비용</x:v>
      </x:c>
      <x:c r="F250" s="47" t="str">
        <x:v>token·latency·cache·large call 카드</x:v>
      </x:c>
      <x:c r="G250" s="47" t="str">
        <x:v>Large only와 Router 결과를 같은 축과 단위로 보여준다.</x:v>
      </x:c>
      <x:c r="H250" s="47" t="str">
        <x:v>frontend/src/features/evaluation/RouterBenchmark.tsx</x:v>
      </x:c>
      <x:c r="I250" s="47" t="str">
        <x:v>ROUTER-01 · 04 §11~12, 03 §9, 10 §11</x:v>
      </x:c>
      <x:c r="J250" s="47" t="str">
        <x:v>frontend/src/features/evaluation/RouterBenchmark.tsx</x:v>
      </x:c>
      <x:c r="K250" s="47" t="str">
        <x:v>npm --prefix frontend test -- RouterBenchmark</x:v>
      </x:c>
      <x:c r="L250" s="47" t="str">
        <x:v>결과 JSON과 값 일치</x:v>
      </x:c>
      <x:c r="M250" s="47" t="str">
        <x:v>Production 쓰기 없음</x:v>
      </x:c>
      <x:c r="N250" s="47" t="str">
        <x:v>미착수</x:v>
      </x:c>
      <x:c r="O250" s="47"/>
      <x:c r="P250" s="47"/>
      <x:c r="Q250" s="47" t="str">
        <x:v>공동 계약 v0.1과 해당 Fixture/Mock 준비</x:v>
      </x:c>
      <x:c r="R250" s="47" t="str">
        <x:v>다른 트랙 결과가 없으면 공동 계약 기반 Mock/Fixture로 진행하고 차단 사유를 기록</x:v>
      </x:c>
    </x:row>
    <x:row r="251" ht="72" customHeight="1">
      <x:c r="A251" s="47" t="str">
        <x:v>19일차</x:v>
      </x:c>
      <x:c r="B251" s="47" t="n">
        <x:v>3</x:v>
      </x:c>
      <x:c r="C251" s="47" t="str">
        <x:v>프론트엔드·제품</x:v>
      </x:c>
      <x:c r="D251" s="47" t="str">
        <x:v>D19-FE-03</x:v>
      </x:c>
      <x:c r="E251" s="47" t="str">
        <x:v>개인정보</x:v>
      </x:c>
      <x:c r="F251" s="47" t="str">
        <x:v>공개 화면 데이터 노출 검사</x:v>
      </x:c>
      <x:c r="G251" s="47" t="str">
        <x:v>테이블·툴팁·다운로드·오류에 실제 사업자명·PII·원문 ID가 없게 한다.</x:v>
      </x:c>
      <x:c r="H251" s="47" t="str">
        <x:v>frontend/e2e/public-data-scan.spec.ts</x:v>
      </x:c>
      <x:c r="I251" s="47" t="str">
        <x:v>FR-DEMO-001 · 04 §11~12, 03 §9, 10 §11</x:v>
      </x:c>
      <x:c r="J251" s="47" t="str">
        <x:v>frontend/e2e/public-data-scan.spec.ts</x:v>
      </x:c>
      <x:c r="K251" s="47" t="str">
        <x:v>npm --prefix frontend run e2e -- public-data-scan</x:v>
      </x:c>
      <x:c r="L251" s="47" t="str">
        <x:v>금지 패턴 0건</x:v>
      </x:c>
      <x:c r="M251" s="47" t="str">
        <x:v>Production 쓰기 없음</x:v>
      </x:c>
      <x:c r="N251" s="47" t="str">
        <x:v>미착수</x:v>
      </x:c>
      <x:c r="O251" s="47"/>
      <x:c r="P251" s="47"/>
      <x:c r="Q251" s="47" t="str">
        <x:v>공동 계약 v0.1과 해당 Fixture/Mock 준비</x:v>
      </x:c>
      <x:c r="R251" s="47" t="str">
        <x:v>다른 트랙 결과가 없으면 공동 계약 기반 Mock/Fixture로 진행하고 차단 사유를 기록</x:v>
      </x:c>
    </x:row>
    <x:row r="252" ht="72" customHeight="1">
      <x:c r="A252" s="45" t="str">
        <x:v>20일차</x:v>
      </x:c>
      <x:c r="B252" s="45" t="n">
        <x:v>1</x:v>
      </x:c>
      <x:c r="C252" s="45" t="str">
        <x:v>AI·ML</x:v>
      </x:c>
      <x:c r="D252" s="45" t="str">
        <x:v>D20-AI-01</x:v>
      </x:c>
      <x:c r="E252" s="45" t="str">
        <x:v>회귀</x:v>
      </x:c>
      <x:c r="F252" s="45" t="str">
        <x:v>Prompt/RAG/QLoRA/Graph/Memory/Agent/Router 재실행</x:v>
      </x:c>
      <x:c r="G252" s="45" t="str">
        <x:v>잠긴 dataset·config로 최종 후보를 다시 실행하고 이전 결과와 diff한다.</x:v>
      </x:c>
      <x:c r="H252" s="45" t="str">
        <x:v>artifacts/integration/day20/ai_regression.json</x:v>
      </x:c>
      <x:c r="I252" s="45" t="str">
        <x:v>04 §14 · 06 안전, 09 Day 20, 10 데모 시나리오</x:v>
      </x:c>
      <x:c r="J252" s="45" t="str">
        <x:v>artifacts/integration/day20/ai_regression.json</x:v>
      </x:c>
      <x:c r="K252" s="45" t="str">
        <x:v>make eval-ai-all</x:v>
      </x:c>
      <x:c r="L252" s="45" t="str">
        <x:v>blocking regression 0·diff 기록</x:v>
      </x:c>
      <x:c r="M252" s="45" t="str">
        <x:v>Production 쓰기 없음</x:v>
      </x:c>
      <x:c r="N252" s="45" t="str">
        <x:v>미착수</x:v>
      </x:c>
      <x:c r="O252" s="45"/>
      <x:c r="P252" s="45"/>
      <x:c r="Q252" s="45" t="str">
        <x:v>공동 계약 v0.1과 해당 Fixture/Mock 준비</x:v>
      </x:c>
      <x:c r="R252" s="45" t="str">
        <x:v>다른 트랙 결과가 없으면 공동 계약 기반 Mock/Fixture로 진행하고 차단 사유를 기록</x:v>
      </x:c>
    </x:row>
    <x:row r="253" ht="72" customHeight="1">
      <x:c r="A253" s="45" t="str">
        <x:v>20일차</x:v>
      </x:c>
      <x:c r="B253" s="45" t="n">
        <x:v>2</x:v>
      </x:c>
      <x:c r="C253" s="45" t="str">
        <x:v>AI·ML</x:v>
      </x:c>
      <x:c r="D253" s="45" t="str">
        <x:v>D20-AI-02</x:v>
      </x:c>
      <x:c r="E253" s="45" t="str">
        <x:v>안전</x:v>
      </x:c>
      <x:c r="F253" s="45" t="str">
        <x:v>AI 위험 시나리오 모음</x:v>
      </x:c>
      <x:c r="G253" s="45" t="str">
        <x:v>고위험 문의, stale 재고, conflicting source, low confidence, prompt injection을 실행한다.</x:v>
      </x:c>
      <x:c r="H253" s="45" t="str">
        <x:v>artifacts/integration/day20/ai_safety.json</x:v>
      </x:c>
      <x:c r="I253" s="45" t="str">
        <x:v>09 §8 · 06 안전, 09 Day 20, 10 데모 시나리오</x:v>
      </x:c>
      <x:c r="J253" s="45" t="str">
        <x:v>artifacts/integration/day20/ai_safety.json</x:v>
      </x:c>
      <x:c r="K253" s="45" t="str">
        <x:v>make eval-ai-safety</x:v>
      </x:c>
      <x:c r="L253" s="45" t="str">
        <x:v>unsafe action/hallucinated write 0</x:v>
      </x:c>
      <x:c r="M253" s="45" t="str">
        <x:v>Production 쓰기 없음</x:v>
      </x:c>
      <x:c r="N253" s="45" t="str">
        <x:v>미착수</x:v>
      </x:c>
      <x:c r="O253" s="45"/>
      <x:c r="P253" s="45"/>
      <x:c r="Q253" s="45" t="str">
        <x:v>공동 계약 v0.1과 해당 Fixture/Mock 준비</x:v>
      </x:c>
      <x:c r="R253" s="45" t="str">
        <x:v>다른 트랙 결과가 없으면 공동 계약 기반 Mock/Fixture로 진행하고 차단 사유를 기록</x:v>
      </x:c>
    </x:row>
    <x:row r="254" ht="72" customHeight="1">
      <x:c r="A254" s="45" t="str">
        <x:v>20일차</x:v>
      </x:c>
      <x:c r="B254" s="45" t="n">
        <x:v>3</x:v>
      </x:c>
      <x:c r="C254" s="45" t="str">
        <x:v>AI·ML</x:v>
      </x:c>
      <x:c r="D254" s="45" t="str">
        <x:v>D20-AI-03</x:v>
      </x:c>
      <x:c r="E254" s="45" t="str">
        <x:v>품질</x:v>
      </x:c>
      <x:c r="F254" s="45" t="str">
        <x:v>최종 오류분석과 미해결 제한</x:v>
      </x:c>
      <x:c r="G254" s="45" t="str">
        <x:v>실패 케이스를 taxonomy별로 정리하고 해결·보류·기각을 구분한다.</x:v>
      </x:c>
      <x:c r="H254" s="45" t="str">
        <x:v>artifacts/integration/day20/ai_error_analysis.md</x:v>
      </x:c>
      <x:c r="I254" s="45" t="str">
        <x:v>04 §12.2 · 06 안전, 09 Day 20, 10 데모 시나리오</x:v>
      </x:c>
      <x:c r="J254" s="45" t="str">
        <x:v>artifacts/integration/day20/ai_error_analysis.md</x:v>
      </x:c>
      <x:c r="K254" s="45" t="str">
        <x:v>python -m ai.evaluation.check_error_report --day 20</x:v>
      </x:c>
      <x:c r="L254" s="45" t="str">
        <x:v>대표 오류·영향·fallback</x:v>
      </x:c>
      <x:c r="M254" s="45" t="str">
        <x:v>Production 쓰기 없음</x:v>
      </x:c>
      <x:c r="N254" s="45" t="str">
        <x:v>미착수</x:v>
      </x:c>
      <x:c r="O254" s="45"/>
      <x:c r="P254" s="45"/>
      <x:c r="Q254" s="45" t="str">
        <x:v>공동 계약 v0.1과 해당 Fixture/Mock 준비</x:v>
      </x:c>
      <x:c r="R254" s="45" t="str">
        <x:v>다른 트랙 결과가 없으면 공동 계약 기반 Mock/Fixture로 진행하고 차단 사유를 기록</x:v>
      </x:c>
    </x:row>
    <x:row r="255" ht="72" customHeight="1">
      <x:c r="A255" s="45" t="str">
        <x:v>20일차</x:v>
      </x:c>
      <x:c r="B255" s="45" t="n">
        <x:v>4</x:v>
      </x:c>
      <x:c r="C255" s="45" t="str">
        <x:v>AI·ML</x:v>
      </x:c>
      <x:c r="D255" s="45" t="str">
        <x:v>D20-AI-04</x:v>
      </x:c>
      <x:c r="E255" s="45" t="str">
        <x:v>비용</x:v>
      </x:c>
      <x:c r="F255" s="45" t="str">
        <x:v>최종 token·latency·cost manifest</x:v>
      </x:c>
      <x:c r="G255" s="45" t="str">
        <x:v>실험/시나리오별 평균·p95·cache hit·large call rate를 묶는다.</x:v>
      </x:c>
      <x:c r="H255" s="45" t="str">
        <x:v>artifacts/integration/day20/ai_cost.json</x:v>
      </x:c>
      <x:c r="I255" s="45" t="str">
        <x:v>ROUTER-01 · 06 안전, 09 Day 20, 10 데모 시나리오</x:v>
      </x:c>
      <x:c r="J255" s="45" t="str">
        <x:v>artifacts/integration/day20/ai_cost.json</x:v>
      </x:c>
      <x:c r="K255" s="45" t="str">
        <x:v>python -m ai.evaluation.validate_cost_manifest day20</x:v>
      </x:c>
      <x:c r="L255" s="45" t="str">
        <x:v>Large only 대비 절감률 재현</x:v>
      </x:c>
      <x:c r="M255" s="45" t="str">
        <x:v>Production 쓰기 없음</x:v>
      </x:c>
      <x:c r="N255" s="45" t="str">
        <x:v>미착수</x:v>
      </x:c>
      <x:c r="O255" s="45"/>
      <x:c r="P255" s="45"/>
      <x:c r="Q255" s="45" t="str">
        <x:v>공동 계약 v0.1과 해당 Fixture/Mock 준비</x:v>
      </x:c>
      <x:c r="R255" s="45" t="str">
        <x:v>다른 트랙 결과가 없으면 공동 계약 기반 Mock/Fixture로 진행하고 차단 사유를 기록</x:v>
      </x:c>
    </x:row>
    <x:row r="256" ht="72" customHeight="1">
      <x:c r="A256" s="45" t="str">
        <x:v>20일차</x:v>
      </x:c>
      <x:c r="B256" s="45" t="n">
        <x:v>5</x:v>
      </x:c>
      <x:c r="C256" s="45" t="str">
        <x:v>AI·ML</x:v>
      </x:c>
      <x:c r="D256" s="45" t="str">
        <x:v>D20-AI-05</x:v>
      </x:c>
      <x:c r="E256" s="45" t="str">
        <x:v>결정</x:v>
      </x:c>
      <x:c r="F256" s="45" t="str">
        <x:v>AI 채택·기각 표 최종 잠금</x:v>
      </x:c>
      <x:c r="G256" s="45" t="str">
        <x:v>사용한 기법뿐 아니라 사용하지 않은 기법과 이유를 결과 수치에 연결한다.</x:v>
      </x:c>
      <x:c r="H256" s="45" t="str">
        <x:v>artifacts/integration/day20/ai_decisions.md</x:v>
      </x:c>
      <x:c r="I256" s="45" t="str">
        <x:v>04 전체 · 06 안전, 09 Day 20, 10 데모 시나리오</x:v>
      </x:c>
      <x:c r="J256" s="45" t="str">
        <x:v>artifacts/integration/day20/ai_decisions.md</x:v>
      </x:c>
      <x:c r="K256" s="45" t="str">
        <x:v>python scripts/check_ai_decisions.py</x:v>
      </x:c>
      <x:c r="L256" s="45" t="str">
        <x:v>모든 기술에 문제·실험·결정 존재</x:v>
      </x:c>
      <x:c r="M256" s="45" t="str">
        <x:v>Production 쓰기 없음</x:v>
      </x:c>
      <x:c r="N256" s="45" t="str">
        <x:v>미착수</x:v>
      </x:c>
      <x:c r="O256" s="45"/>
      <x:c r="P256" s="45"/>
      <x:c r="Q256" s="45" t="str">
        <x:v>공동 계약 v0.1과 해당 Fixture/Mock 준비</x:v>
      </x:c>
      <x:c r="R256" s="45" t="str">
        <x:v>다른 트랙 결과가 없으면 공동 계약 기반 Mock/Fixture로 진행하고 차단 사유를 기록</x:v>
      </x:c>
    </x:row>
    <x:row r="257" ht="72" customHeight="1">
      <x:c r="A257" s="46" t="str">
        <x:v>20일차</x:v>
      </x:c>
      <x:c r="B257" s="46" t="n">
        <x:v>1</x:v>
      </x:c>
      <x:c r="C257" s="46" t="str">
        <x:v>백엔드·데이터</x:v>
      </x:c>
      <x:c r="D257" s="46" t="str">
        <x:v>D20-BE-01</x:v>
      </x:c>
      <x:c r="E257" s="46" t="str">
        <x:v>E2E</x:v>
      </x:c>
      <x:c r="F257" s="46" t="str">
        <x:v>6개 Demo 시나리오 API E2E</x:v>
      </x:c>
      <x:c r="G257" s="46" t="str">
        <x:v>offline sale, reservation, launch delay, grounded CS, safety denial, AI experiment를 실행한다.</x:v>
      </x:c>
      <x:c r="H257" s="46" t="str">
        <x:v>backend/tests/e2e/test_demo_scenarios.py</x:v>
      </x:c>
      <x:c r="I257" s="46" t="str">
        <x:v>10 §5 · 06 안전, 09 Day 20, 10 데모 시나리오</x:v>
      </x:c>
      <x:c r="J257" s="46" t="str">
        <x:v>backend/tests/e2e/test_demo_scenarios.py</x:v>
      </x:c>
      <x:c r="K257" s="46" t="str">
        <x:v>pytest backend/tests/e2e/test_demo_scenarios.py -q</x:v>
      </x:c>
      <x:c r="L257" s="46" t="str">
        <x:v>6/6 PASS·correlation ID</x:v>
      </x:c>
      <x:c r="M257" s="46" t="str">
        <x:v>Production 쓰기 없음</x:v>
      </x:c>
      <x:c r="N257" s="46" t="str">
        <x:v>미착수</x:v>
      </x:c>
      <x:c r="O257" s="46"/>
      <x:c r="P257" s="46"/>
      <x:c r="Q257" s="46" t="str">
        <x:v>공동 계약 v0.1과 해당 Fixture/Mock 준비</x:v>
      </x:c>
      <x:c r="R257" s="46" t="str">
        <x:v>다른 트랙 결과가 없으면 공동 계약 기반 Mock/Fixture로 진행하고 차단 사유를 기록</x:v>
      </x:c>
    </x:row>
    <x:row r="258" ht="72" customHeight="1">
      <x:c r="A258" s="46" t="str">
        <x:v>20일차</x:v>
      </x:c>
      <x:c r="B258" s="46" t="n">
        <x:v>2</x:v>
      </x:c>
      <x:c r="C258" s="46" t="str">
        <x:v>백엔드·데이터</x:v>
      </x:c>
      <x:c r="D258" s="46" t="str">
        <x:v>D20-BE-02</x:v>
      </x:c>
      <x:c r="E258" s="46" t="str">
        <x:v>회귀</x:v>
      </x:c>
      <x:c r="F258" s="46" t="str">
        <x:v>P0 도메인·계약·migration 회귀</x:v>
      </x:c>
      <x:c r="G258" s="46" t="str">
        <x:v>inventory/reservation/schedule/provider/contract/db를 clean DB에서 실행한다.</x:v>
      </x:c>
      <x:c r="H258" s="46" t="str">
        <x:v>artifacts/integration/day20/backend_regression.xml</x:v>
      </x:c>
      <x:c r="I258" s="46" t="str">
        <x:v>09 §2 · 06 안전, 09 Day 20, 10 데모 시나리오</x:v>
      </x:c>
      <x:c r="J258" s="46" t="str">
        <x:v>artifacts/integration/day20/backend_regression.xml</x:v>
      </x:c>
      <x:c r="K258" s="46" t="str">
        <x:v>make test-release</x:v>
      </x:c>
      <x:c r="L258" s="46" t="str">
        <x:v>blocking test 실패 0</x:v>
      </x:c>
      <x:c r="M258" s="46" t="str">
        <x:v>Production 쓰기 없음</x:v>
      </x:c>
      <x:c r="N258" s="46" t="str">
        <x:v>미착수</x:v>
      </x:c>
      <x:c r="O258" s="46"/>
      <x:c r="P258" s="46"/>
      <x:c r="Q258" s="46" t="str">
        <x:v>공동 계약 v0.1과 해당 Fixture/Mock 준비</x:v>
      </x:c>
      <x:c r="R258" s="46" t="str">
        <x:v>다른 트랙 결과가 없으면 공동 계약 기반 Mock/Fixture로 진행하고 차단 사유를 기록</x:v>
      </x:c>
    </x:row>
    <x:row r="259" ht="72" customHeight="1">
      <x:c r="A259" s="46" t="str">
        <x:v>20일차</x:v>
      </x:c>
      <x:c r="B259" s="46" t="n">
        <x:v>3</x:v>
      </x:c>
      <x:c r="C259" s="46" t="str">
        <x:v>백엔드·데이터</x:v>
      </x:c>
      <x:c r="D259" s="46" t="str">
        <x:v>D20-BE-03</x:v>
      </x:c>
      <x:c r="E259" s="46" t="str">
        <x:v>안전</x:v>
      </x:c>
      <x:c r="F259" s="46" t="str">
        <x:v>write·PII·secret·tenant scan</x:v>
      </x:c>
      <x:c r="G259" s="46" t="str">
        <x:v>네트워크 호출, 로그, artifact, build bundle을 검사한다.</x:v>
      </x:c>
      <x:c r="H259" s="46" t="str">
        <x:v>artifacts/integration/day20/safety_scan.json</x:v>
      </x:c>
      <x:c r="I259" s="46" t="str">
        <x:v>06 전체 · 06 안전, 09 Day 20, 10 데모 시나리오</x:v>
      </x:c>
      <x:c r="J259" s="46" t="str">
        <x:v>artifacts/integration/day20/safety_scan.json</x:v>
      </x:c>
      <x:c r="K259" s="46" t="str">
        <x:v>make safety-scan</x:v>
      </x:c>
      <x:c r="L259" s="46" t="str">
        <x:v>Production write 0·PII/secret 0</x:v>
      </x:c>
      <x:c r="M259" s="46" t="str">
        <x:v>Production 쓰기 없음</x:v>
      </x:c>
      <x:c r="N259" s="46" t="str">
        <x:v>미착수</x:v>
      </x:c>
      <x:c r="O259" s="46"/>
      <x:c r="P259" s="46"/>
      <x:c r="Q259" s="46" t="str">
        <x:v>공동 계약 v0.1과 해당 Fixture/Mock 준비</x:v>
      </x:c>
      <x:c r="R259" s="46" t="str">
        <x:v>다른 트랙 결과가 없으면 공동 계약 기반 Mock/Fixture로 진행하고 차단 사유를 기록</x:v>
      </x:c>
    </x:row>
    <x:row r="260" ht="72" customHeight="1">
      <x:c r="A260" s="46" t="str">
        <x:v>20일차</x:v>
      </x:c>
      <x:c r="B260" s="46" t="n">
        <x:v>4</x:v>
      </x:c>
      <x:c r="C260" s="46" t="str">
        <x:v>백엔드·데이터</x:v>
      </x:c>
      <x:c r="D260" s="46" t="str">
        <x:v>D20-BE-04</x:v>
      </x:c>
      <x:c r="E260" s="46" t="str">
        <x:v>Chaos</x:v>
      </x:c>
      <x:c r="F260" s="46" t="str">
        <x:v>duplicate·timeout·stale·resume 주입</x:v>
      </x:c>
      <x:c r="G260" s="46" t="str">
        <x:v>핵심 흐름의 안전 종료, idempotency, audit, UI reason을 검증한다.</x:v>
      </x:c>
      <x:c r="H260" s="46" t="str">
        <x:v>backend/tests/chaos/test_release_chaos.py</x:v>
      </x:c>
      <x:c r="I260" s="46" t="str">
        <x:v>09 §8 · 06 안전, 09 Day 20, 10 데모 시나리오</x:v>
      </x:c>
      <x:c r="J260" s="46" t="str">
        <x:v>backend/tests/chaos/test_release_chaos.py</x:v>
      </x:c>
      <x:c r="K260" s="46" t="str">
        <x:v>pytest backend/tests/chaos/test_release_chaos.py -q</x:v>
      </x:c>
      <x:c r="L260" s="46" t="str">
        <x:v>prohibited miss=0·무한 retry 0</x:v>
      </x:c>
      <x:c r="M260" s="46" t="str">
        <x:v>Production 쓰기 없음</x:v>
      </x:c>
      <x:c r="N260" s="46" t="str">
        <x:v>미착수</x:v>
      </x:c>
      <x:c r="O260" s="46"/>
      <x:c r="P260" s="46"/>
      <x:c r="Q260" s="46" t="str">
        <x:v>공동 계약 v0.1과 해당 Fixture/Mock 준비</x:v>
      </x:c>
      <x:c r="R260" s="46" t="str">
        <x:v>다른 트랙 결과가 없으면 공동 계약 기반 Mock/Fixture로 진행하고 차단 사유를 기록</x:v>
      </x:c>
    </x:row>
    <x:row r="261" ht="72" customHeight="1">
      <x:c r="A261" s="46" t="str">
        <x:v>20일차</x:v>
      </x:c>
      <x:c r="B261" s="46" t="n">
        <x:v>5</x:v>
      </x:c>
      <x:c r="C261" s="46" t="str">
        <x:v>백엔드·데이터</x:v>
      </x:c>
      <x:c r="D261" s="46" t="str">
        <x:v>D20-BE-05</x:v>
      </x:c>
      <x:c r="E261" s="46" t="str">
        <x:v>Candidate</x:v>
      </x:c>
      <x:c r="F261" s="46" t="str">
        <x:v>Demo Candidate manifest 생성</x:v>
      </x:c>
      <x:c r="G261" s="46" t="str">
        <x:v>commit, contract, migration, dataset, model, prompt, index, env, artifact hash를 묶는다.</x:v>
      </x:c>
      <x:c r="H261" s="46" t="str">
        <x:v>artifacts/integration/day20/release_candidate.json</x:v>
      </x:c>
      <x:c r="I261" s="46" t="str">
        <x:v>10 §14 · 06 안전, 09 Day 20, 10 데모 시나리오</x:v>
      </x:c>
      <x:c r="J261" s="46" t="str">
        <x:v>artifacts/integration/day20/release_candidate.json</x:v>
      </x:c>
      <x:c r="K261" s="46" t="str">
        <x:v>python scripts/validate_release_manifest.py day20</x:v>
      </x:c>
      <x:c r="L261" s="46" t="str">
        <x:v>누락·변경 가능한 참조 0</x:v>
      </x:c>
      <x:c r="M261" s="46" t="str">
        <x:v>Production 쓰기 없음</x:v>
      </x:c>
      <x:c r="N261" s="46" t="str">
        <x:v>미착수</x:v>
      </x:c>
      <x:c r="O261" s="46"/>
      <x:c r="P261" s="46"/>
      <x:c r="Q261" s="46" t="str">
        <x:v>공동 계약 v0.1과 해당 Fixture/Mock 준비</x:v>
      </x:c>
      <x:c r="R261" s="46" t="str">
        <x:v>다른 트랙 결과가 없으면 공동 계약 기반 Mock/Fixture로 진행하고 차단 사유를 기록</x:v>
      </x:c>
    </x:row>
    <x:row r="262" ht="72" customHeight="1">
      <x:c r="A262" s="47" t="str">
        <x:v>20일차</x:v>
      </x:c>
      <x:c r="B262" s="47" t="n">
        <x:v>1</x:v>
      </x:c>
      <x:c r="C262" s="47" t="str">
        <x:v>프론트엔드·제품</x:v>
      </x:c>
      <x:c r="D262" s="47" t="str">
        <x:v>D20-FE-01</x:v>
      </x:c>
      <x:c r="E262" s="47" t="str">
        <x:v>E2E</x:v>
      </x:c>
      <x:c r="F262" s="47" t="str">
        <x:v>6개 데모 브라우저 회귀</x:v>
      </x:c>
      <x:c r="G262" s="47" t="str">
        <x:v>초기화된 Demo Tenant에서 시나리오를 순서·독립 실행한다.</x:v>
      </x:c>
      <x:c r="H262" s="47" t="str">
        <x:v>frontend/e2e/release-demo.spec.ts</x:v>
      </x:c>
      <x:c r="I262" s="47" t="str">
        <x:v>10 §5 · 06 안전, 09 Day 20, 10 데모 시나리오</x:v>
      </x:c>
      <x:c r="J262" s="47" t="str">
        <x:v>frontend/e2e/release-demo.spec.ts</x:v>
      </x:c>
      <x:c r="K262" s="47" t="str">
        <x:v>npm --prefix frontend run e2e -- release-demo</x:v>
      </x:c>
      <x:c r="L262" s="47" t="str">
        <x:v>6/6 영상·스크린샷</x:v>
      </x:c>
      <x:c r="M262" s="47" t="str">
        <x:v>Production 쓰기 없음</x:v>
      </x:c>
      <x:c r="N262" s="47" t="str">
        <x:v>미착수</x:v>
      </x:c>
      <x:c r="O262" s="47"/>
      <x:c r="P262" s="47"/>
      <x:c r="Q262" s="47" t="str">
        <x:v>공동 계약 v0.1과 해당 Fixture/Mock 준비</x:v>
      </x:c>
      <x:c r="R262" s="47" t="str">
        <x:v>다른 트랙 결과가 없으면 공동 계약 기반 Mock/Fixture로 진행하고 차단 사유를 기록</x:v>
      </x:c>
    </x:row>
    <x:row r="263" ht="72" customHeight="1">
      <x:c r="A263" s="47" t="str">
        <x:v>20일차</x:v>
      </x:c>
      <x:c r="B263" s="47" t="n">
        <x:v>2</x:v>
      </x:c>
      <x:c r="C263" s="47" t="str">
        <x:v>프론트엔드·제품</x:v>
      </x:c>
      <x:c r="D263" s="47" t="str">
        <x:v>D20-FE-02</x:v>
      </x:c>
      <x:c r="E263" s="47" t="str">
        <x:v>접근성</x:v>
      </x:c>
      <x:c r="F263" s="47" t="str">
        <x:v>핵심 화면 접근성·반응형</x:v>
      </x:c>
      <x:c r="G263" s="47" t="str">
        <x:v>키보드, focus, label, contrast, 1280/1440/모바일 보조 화면을 검사한다.</x:v>
      </x:c>
      <x:c r="H263" s="47" t="str">
        <x:v>artifacts/integration/day20/a11y.json</x:v>
      </x:c>
      <x:c r="I263" s="47" t="str">
        <x:v>07 §15 · 06 안전, 09 Day 20, 10 데모 시나리오</x:v>
      </x:c>
      <x:c r="J263" s="47" t="str">
        <x:v>artifacts/integration/day20/a11y.json</x:v>
      </x:c>
      <x:c r="K263" s="47" t="str">
        <x:v>npm --prefix frontend run test:a11y</x:v>
      </x:c>
      <x:c r="L263" s="47" t="str">
        <x:v>critical 오류 0</x:v>
      </x:c>
      <x:c r="M263" s="47" t="str">
        <x:v>Production 쓰기 없음</x:v>
      </x:c>
      <x:c r="N263" s="47" t="str">
        <x:v>미착수</x:v>
      </x:c>
      <x:c r="O263" s="47"/>
      <x:c r="P263" s="47"/>
      <x:c r="Q263" s="47" t="str">
        <x:v>공동 계약 v0.1과 해당 Fixture/Mock 준비</x:v>
      </x:c>
      <x:c r="R263" s="47" t="str">
        <x:v>다른 트랙 결과가 없으면 공동 계약 기반 Mock/Fixture로 진행하고 차단 사유를 기록</x:v>
      </x:c>
    </x:row>
    <x:row r="264" ht="72" customHeight="1">
      <x:c r="A264" s="47" t="str">
        <x:v>20일차</x:v>
      </x:c>
      <x:c r="B264" s="47" t="n">
        <x:v>3</x:v>
      </x:c>
      <x:c r="C264" s="47" t="str">
        <x:v>프론트엔드·제품</x:v>
      </x:c>
      <x:c r="D264" s="47" t="str">
        <x:v>D20-FE-03</x:v>
      </x:c>
      <x:c r="E264" s="47" t="str">
        <x:v>안전</x:v>
      </x:c>
      <x:c r="F264" s="47" t="str">
        <x:v>Demo/Production 경계 최종 확인</x:v>
      </x:c>
      <x:c r="G264" s="47" t="str">
        <x:v>Production banner와 금지 CTA, Demo reset, 합성 데이터 표시를 검사한다.</x:v>
      </x:c>
      <x:c r="H264" s="47" t="str">
        <x:v>frontend/e2e/environment-boundary.spec.ts</x:v>
      </x:c>
      <x:c r="I264" s="47" t="str">
        <x:v>06 §3 · 10 §3 · 06 안전, 09 Day 20, 10 데모 시나리오</x:v>
      </x:c>
      <x:c r="J264" s="47" t="str">
        <x:v>frontend/e2e/environment-boundary.spec.ts</x:v>
      </x:c>
      <x:c r="K264" s="47" t="str">
        <x:v>npm --prefix frontend run e2e -- environment-boundary</x:v>
      </x:c>
      <x:c r="L264" s="47" t="str">
        <x:v>환경 오인 가능 요소 0</x:v>
      </x:c>
      <x:c r="M264" s="47" t="str">
        <x:v>Production 쓰기 없음</x:v>
      </x:c>
      <x:c r="N264" s="47" t="str">
        <x:v>미착수</x:v>
      </x:c>
      <x:c r="O264" s="47"/>
      <x:c r="P264" s="47"/>
      <x:c r="Q264" s="47" t="str">
        <x:v>공동 계약 v0.1과 해당 Fixture/Mock 준비</x:v>
      </x:c>
      <x:c r="R264" s="47" t="str">
        <x:v>다른 트랙 결과가 없으면 공동 계약 기반 Mock/Fixture로 진행하고 차단 사유를 기록</x:v>
      </x:c>
    </x:row>
    <x:row r="265" ht="72" customHeight="1">
      <x:c r="A265" s="45" t="str">
        <x:v>21일차</x:v>
      </x:c>
      <x:c r="B265" s="45" t="n">
        <x:v>1</x:v>
      </x:c>
      <x:c r="C265" s="45" t="str">
        <x:v>AI·ML</x:v>
      </x:c>
      <x:c r="D265" s="45" t="str">
        <x:v>D21-AI-01</x:v>
      </x:c>
      <x:c r="E265" s="45" t="str">
        <x:v>보고</x:v>
      </x:c>
      <x:c r="F265" s="45" t="str">
        <x:v>AI 비교실험 최종 보고서</x:v>
      </x:c>
      <x:c r="G265" s="45" t="str">
        <x:v>문제→가설→기법→baseline→실험→metric→결과→채택/기각 순으로 모든 실험을 요약한다.</x:v>
      </x:c>
      <x:c r="H265" s="45" t="str">
        <x:v>docs/ai_experiment_report.md</x:v>
      </x:c>
      <x:c r="I265" s="45" t="str">
        <x:v>04 전체 · 00 사용안내, 09 Day 21, 10 전체</x:v>
      </x:c>
      <x:c r="J265" s="45" t="str">
        <x:v>docs/ai_experiment_report.md</x:v>
      </x:c>
      <x:c r="K265" s="45" t="str">
        <x:v>python scripts/check_ai_report.py</x:v>
      </x:c>
      <x:c r="L265" s="45" t="str">
        <x:v>Prompt/RAG/QLoRA/Graph/Memory/Agent/Router 누락 0</x:v>
      </x:c>
      <x:c r="M265" s="45" t="str">
        <x:v>Production 쓰기 없음</x:v>
      </x:c>
      <x:c r="N265" s="45" t="str">
        <x:v>미착수</x:v>
      </x:c>
      <x:c r="O265" s="45"/>
      <x:c r="P265" s="45"/>
      <x:c r="Q265" s="45" t="str">
        <x:v>공동 계약 v0.1과 해당 Fixture/Mock 준비</x:v>
      </x:c>
      <x:c r="R265" s="45" t="str">
        <x:v>다른 트랙 결과가 없으면 공동 계약 기반 Mock/Fixture로 진행하고 차단 사유를 기록</x:v>
      </x:c>
    </x:row>
    <x:row r="266" ht="72" customHeight="1">
      <x:c r="A266" s="45" t="str">
        <x:v>21일차</x:v>
      </x:c>
      <x:c r="B266" s="45" t="n">
        <x:v>2</x:v>
      </x:c>
      <x:c r="C266" s="45" t="str">
        <x:v>AI·ML</x:v>
      </x:c>
      <x:c r="D266" s="45" t="str">
        <x:v>D21-AI-02</x:v>
      </x:c>
      <x:c r="E266" s="45" t="str">
        <x:v>모델카드</x:v>
      </x:c>
      <x:c r="F266" s="45" t="str">
        <x:v>QLoRA model card 작성</x:v>
      </x:c>
      <x:c r="G266" s="45" t="str">
        <x:v>base, dataset taxonomy/split, config, checkpoint, metric, error, limitation, license를 기록한다.</x:v>
      </x:c>
      <x:c r="H266" s="45" t="str">
        <x:v>docs/model_card.md</x:v>
      </x:c>
      <x:c r="I266" s="45" t="str">
        <x:v>FT-01 · 00 사용안내, 09 Day 21, 10 전체</x:v>
      </x:c>
      <x:c r="J266" s="45" t="str">
        <x:v>docs/model_card.md</x:v>
      </x:c>
      <x:c r="K266" s="45" t="str">
        <x:v>python scripts/check_model_card.py</x:v>
      </x:c>
      <x:c r="L266" s="45" t="str">
        <x:v>Base·Large API 비교와 과적합 결과 포함</x:v>
      </x:c>
      <x:c r="M266" s="45" t="str">
        <x:v>Production 쓰기 없음</x:v>
      </x:c>
      <x:c r="N266" s="45" t="str">
        <x:v>미착수</x:v>
      </x:c>
      <x:c r="O266" s="45"/>
      <x:c r="P266" s="45"/>
      <x:c r="Q266" s="45" t="str">
        <x:v>공동 계약 v0.1과 해당 Fixture/Mock 준비</x:v>
      </x:c>
      <x:c r="R266" s="45" t="str">
        <x:v>다른 트랙 결과가 없으면 공동 계약 기반 Mock/Fixture로 진행하고 차단 사유를 기록</x:v>
      </x:c>
    </x:row>
    <x:row r="267" ht="72" customHeight="1">
      <x:c r="A267" s="45" t="str">
        <x:v>21일차</x:v>
      </x:c>
      <x:c r="B267" s="45" t="n">
        <x:v>3</x:v>
      </x:c>
      <x:c r="C267" s="45" t="str">
        <x:v>AI·ML</x:v>
      </x:c>
      <x:c r="D267" s="45" t="str">
        <x:v>D21-AI-03</x:v>
      </x:c>
      <x:c r="E267" s="45" t="str">
        <x:v>검색카드</x:v>
      </x:c>
      <x:c r="F267" s="45" t="str">
        <x:v>RAG index card 작성</x:v>
      </x:c>
      <x:c r="G267" s="45" t="str">
        <x:v>corpus, chunking, metadata, embedding, retrieval, reranker, top-k, freshness, fallback을 기록한다.</x:v>
      </x:c>
      <x:c r="H267" s="45" t="str">
        <x:v>docs/retrieval_card.md</x:v>
      </x:c>
      <x:c r="I267" s="45" t="str">
        <x:v>RAG-01~03 · 00 사용안내, 09 Day 21, 10 전체</x:v>
      </x:c>
      <x:c r="J267" s="45" t="str">
        <x:v>docs/retrieval_card.md</x:v>
      </x:c>
      <x:c r="K267" s="45" t="str">
        <x:v>python scripts/check_retrieval_card.py</x:v>
      </x:c>
      <x:c r="L267" s="45" t="str">
        <x:v>평가수치·캐시·인용·failure 포함</x:v>
      </x:c>
      <x:c r="M267" s="45" t="str">
        <x:v>Production 쓰기 없음</x:v>
      </x:c>
      <x:c r="N267" s="45" t="str">
        <x:v>미착수</x:v>
      </x:c>
      <x:c r="O267" s="45"/>
      <x:c r="P267" s="45"/>
      <x:c r="Q267" s="45" t="str">
        <x:v>공동 계약 v0.1과 해당 Fixture/Mock 준비</x:v>
      </x:c>
      <x:c r="R267" s="45" t="str">
        <x:v>다른 트랙 결과가 없으면 공동 계약 기반 Mock/Fixture로 진행하고 차단 사유를 기록</x:v>
      </x:c>
    </x:row>
    <x:row r="268" ht="72" customHeight="1">
      <x:c r="A268" s="45" t="str">
        <x:v>21일차</x:v>
      </x:c>
      <x:c r="B268" s="45" t="n">
        <x:v>4</x:v>
      </x:c>
      <x:c r="C268" s="45" t="str">
        <x:v>AI·ML</x:v>
      </x:c>
      <x:c r="D268" s="45" t="str">
        <x:v>D21-AI-04</x:v>
      </x:c>
      <x:c r="E268" s="45" t="str">
        <x:v>재현</x:v>
      </x:c>
      <x:c r="F268" s="45" t="str">
        <x:v>AI 평가 one-command 재현</x:v>
      </x:c>
      <x:c r="G268" s="45" t="str">
        <x:v>합성 Golden Set으로 핵심 평가를 실행하고 요약 JSON을 생성한다.</x:v>
      </x:c>
      <x:c r="H268" s="45" t="str">
        <x:v>Makefile · ai/evaluation/</x:v>
      </x:c>
      <x:c r="I268" s="45" t="str">
        <x:v>09 §9 · 00 사용안내, 09 Day 21, 10 전체</x:v>
      </x:c>
      <x:c r="J268" s="45" t="str">
        <x:v>Makefile · ai/evaluation/</x:v>
      </x:c>
      <x:c r="K268" s="45" t="str">
        <x:v>make eval-portfolio</x:v>
      </x:c>
      <x:c r="L268" s="45" t="str">
        <x:v>비공개 데이터 없이 주요 표 재생성</x:v>
      </x:c>
      <x:c r="M268" s="45" t="str">
        <x:v>Production 쓰기 없음</x:v>
      </x:c>
      <x:c r="N268" s="45" t="str">
        <x:v>미착수</x:v>
      </x:c>
      <x:c r="O268" s="45"/>
      <x:c r="P268" s="45"/>
      <x:c r="Q268" s="45" t="str">
        <x:v>공동 계약 v0.1과 해당 Fixture/Mock 준비</x:v>
      </x:c>
      <x:c r="R268" s="45" t="str">
        <x:v>다른 트랙 결과가 없으면 공동 계약 기반 Mock/Fixture로 진행하고 차단 사유를 기록</x:v>
      </x:c>
    </x:row>
    <x:row r="269" ht="72" customHeight="1">
      <x:c r="A269" s="45" t="str">
        <x:v>21일차</x:v>
      </x:c>
      <x:c r="B269" s="45" t="n">
        <x:v>5</x:v>
      </x:c>
      <x:c r="C269" s="45" t="str">
        <x:v>AI·ML</x:v>
      </x:c>
      <x:c r="D269" s="45" t="str">
        <x:v>D21-AI-05</x:v>
      </x:c>
      <x:c r="E269" s="45" t="str">
        <x:v>제한</x:v>
      </x:c>
      <x:c r="F269" s="45" t="str">
        <x:v>미채택 기술·한계·Pilot 조건 명시</x:v>
      </x:c>
      <x:c r="G269" s="45" t="str">
        <x:v>효과 없거나 일정상 검증 부족한 기법을 숨기지 않고 이유와 추가시험을 쓴다.</x:v>
      </x:c>
      <x:c r="H269" s="45" t="str">
        <x:v>docs/ai_limitations.md</x:v>
      </x:c>
      <x:c r="I269" s="45" t="str">
        <x:v>04 §13~14 · 00 사용안내, 09 Day 21, 10 전체</x:v>
      </x:c>
      <x:c r="J269" s="45" t="str">
        <x:v>docs/ai_limitations.md</x:v>
      </x:c>
      <x:c r="K269" s="45" t="str">
        <x:v>python scripts/check_limitations.py</x:v>
      </x:c>
      <x:c r="L269" s="45" t="str">
        <x:v>모든 미채택 항목에 근거·다음조건</x:v>
      </x:c>
      <x:c r="M269" s="45" t="str">
        <x:v>Production 쓰기 없음</x:v>
      </x:c>
      <x:c r="N269" s="45" t="str">
        <x:v>미착수</x:v>
      </x:c>
      <x:c r="O269" s="45"/>
      <x:c r="P269" s="45"/>
      <x:c r="Q269" s="45" t="str">
        <x:v>공동 계약 v0.1과 해당 Fixture/Mock 준비</x:v>
      </x:c>
      <x:c r="R269" s="45" t="str">
        <x:v>다른 트랙 결과가 없으면 공동 계약 기반 Mock/Fixture로 진행하고 차단 사유를 기록</x:v>
      </x:c>
    </x:row>
    <x:row r="270" ht="72" customHeight="1">
      <x:c r="A270" s="46" t="str">
        <x:v>21일차</x:v>
      </x:c>
      <x:c r="B270" s="46" t="n">
        <x:v>1</x:v>
      </x:c>
      <x:c r="C270" s="46" t="str">
        <x:v>백엔드·데이터</x:v>
      </x:c>
      <x:c r="D270" s="46" t="str">
        <x:v>D21-BE-01</x:v>
      </x:c>
      <x:c r="E270" s="46" t="str">
        <x:v>최종시험</x:v>
      </x:c>
      <x:c r="F270" s="46" t="str">
        <x:v>clean 환경 최종 release test</x:v>
      </x:c>
      <x:c r="G270" s="46" t="str">
        <x:v>DB reset→seed→service→E2E→safety scan을 한 명령으로 실행한다.</x:v>
      </x:c>
      <x:c r="H270" s="46" t="str">
        <x:v>artifacts/release/final_test.json</x:v>
      </x:c>
      <x:c r="I270" s="46" t="str">
        <x:v>09 Day 21 · 00 사용안내, 09 Day 21, 10 전체</x:v>
      </x:c>
      <x:c r="J270" s="46" t="str">
        <x:v>artifacts/release/final_test.json</x:v>
      </x:c>
      <x:c r="K270" s="46" t="str">
        <x:v>make release-check</x:v>
      </x:c>
      <x:c r="L270" s="46" t="str">
        <x:v>blocking defect 0 또는 release 보류</x:v>
      </x:c>
      <x:c r="M270" s="46" t="str">
        <x:v>Production 쓰기 없음</x:v>
      </x:c>
      <x:c r="N270" s="46" t="str">
        <x:v>미착수</x:v>
      </x:c>
      <x:c r="O270" s="46"/>
      <x:c r="P270" s="46"/>
      <x:c r="Q270" s="46" t="str">
        <x:v>공동 계약 v0.1과 해당 Fixture/Mock 준비</x:v>
      </x:c>
      <x:c r="R270" s="46" t="str">
        <x:v>다른 트랙 결과가 없으면 공동 계약 기반 Mock/Fixture로 진행하고 차단 사유를 기록</x:v>
      </x:c>
    </x:row>
    <x:row r="271" ht="72" customHeight="1">
      <x:c r="A271" s="46" t="str">
        <x:v>21일차</x:v>
      </x:c>
      <x:c r="B271" s="46" t="n">
        <x:v>2</x:v>
      </x:c>
      <x:c r="C271" s="46" t="str">
        <x:v>백엔드·데이터</x:v>
      </x:c>
      <x:c r="D271" s="46" t="str">
        <x:v>D21-BE-02</x:v>
      </x:c>
      <x:c r="E271" s="46" t="str">
        <x:v>배포</x:v>
      </x:c>
      <x:c r="F271" s="46" t="str">
        <x:v>Demo 환경 배포·rollback</x:v>
      </x:c>
      <x:c r="G271" s="46" t="str">
        <x:v>Demo DB/queue/storage/secret namespace를 분리하고 같은 commit으로 배포한다.</x:v>
      </x:c>
      <x:c r="H271" s="46" t="str">
        <x:v>infra/demo/</x:v>
      </x:c>
      <x:c r="I271" s="46" t="str">
        <x:v>10 §3·6 · 00 사용안내, 09 Day 21, 10 전체</x:v>
      </x:c>
      <x:c r="J271" s="46" t="str">
        <x:v>infra/demo/</x:v>
      </x:c>
      <x:c r="K271" s="46" t="str">
        <x:v>make deploy-demo-dry-run</x:v>
      </x:c>
      <x:c r="L271" s="46" t="str">
        <x:v>Production resource 참조 0·rollback 문서</x:v>
      </x:c>
      <x:c r="M271" s="46" t="str">
        <x:v>Production 쓰기 없음</x:v>
      </x:c>
      <x:c r="N271" s="46" t="str">
        <x:v>미착수</x:v>
      </x:c>
      <x:c r="O271" s="46"/>
      <x:c r="P271" s="46"/>
      <x:c r="Q271" s="46" t="str">
        <x:v>공동 계약 v0.1과 해당 Fixture/Mock 준비</x:v>
      </x:c>
      <x:c r="R271" s="46" t="str">
        <x:v>다른 트랙 결과가 없으면 공동 계약 기반 Mock/Fixture로 진행하고 차단 사유를 기록</x:v>
      </x:c>
    </x:row>
    <x:row r="272" ht="72" customHeight="1">
      <x:c r="A272" s="46" t="str">
        <x:v>21일차</x:v>
      </x:c>
      <x:c r="B272" s="46" t="n">
        <x:v>3</x:v>
      </x:c>
      <x:c r="C272" s="46" t="str">
        <x:v>백엔드·데이터</x:v>
      </x:c>
      <x:c r="D272" s="46" t="str">
        <x:v>D21-BE-03</x:v>
      </x:c>
      <x:c r="E272" s="46" t="str">
        <x:v>재현</x:v>
      </x:c>
      <x:c r="F272" s="46" t="str">
        <x:v>설치·실행·문제해결 문서</x:v>
      </x:c>
      <x:c r="G272" s="46" t="str">
        <x:v>필수 버전, env 예시, migrate, seed, run, test, common failure를 명령으로 쓴다.</x:v>
      </x:c>
      <x:c r="H272" s="46" t="str">
        <x:v>README.md · docs/runbook.md</x:v>
      </x:c>
      <x:c r="I272" s="46" t="str">
        <x:v>10 §8·10 · 00 사용안내, 09 Day 21, 10 전체</x:v>
      </x:c>
      <x:c r="J272" s="46" t="str">
        <x:v>README.md · docs/runbook.md</x:v>
      </x:c>
      <x:c r="K272" s="46" t="str">
        <x:v>python scripts/verify_readme_commands.py</x:v>
      </x:c>
      <x:c r="L272" s="46" t="str">
        <x:v>새 환경에서 명령 순서 검증</x:v>
      </x:c>
      <x:c r="M272" s="46" t="str">
        <x:v>Production 쓰기 없음</x:v>
      </x:c>
      <x:c r="N272" s="46" t="str">
        <x:v>미착수</x:v>
      </x:c>
      <x:c r="O272" s="46"/>
      <x:c r="P272" s="46"/>
      <x:c r="Q272" s="46" t="str">
        <x:v>공동 계약 v0.1과 해당 Fixture/Mock 준비</x:v>
      </x:c>
      <x:c r="R272" s="46" t="str">
        <x:v>다른 트랙 결과가 없으면 공동 계약 기반 Mock/Fixture로 진행하고 차단 사유를 기록</x:v>
      </x:c>
    </x:row>
    <x:row r="273" ht="72" customHeight="1">
      <x:c r="A273" s="46" t="str">
        <x:v>21일차</x:v>
      </x:c>
      <x:c r="B273" s="46" t="n">
        <x:v>4</x:v>
      </x:c>
      <x:c r="C273" s="46" t="str">
        <x:v>백엔드·데이터</x:v>
      </x:c>
      <x:c r="D273" s="46" t="str">
        <x:v>D21-BE-04</x:v>
      </x:c>
      <x:c r="E273" s="46" t="str">
        <x:v>증거</x:v>
      </x:c>
      <x:c r="F273" s="46" t="str">
        <x:v>포트폴리오 evidence index</x:v>
      </x:c>
      <x:c r="G273" s="46" t="str">
        <x:v>실험 결과, trace, 로그, screenshot, test report, 안전 증거를 공개/비공개로 구분한다.</x:v>
      </x:c>
      <x:c r="H273" s="46" t="str">
        <x:v>docs/evidence_index.md</x:v>
      </x:c>
      <x:c r="I273" s="46" t="str">
        <x:v>10 §9 · 00 사용안내, 09 Day 21, 10 전체</x:v>
      </x:c>
      <x:c r="J273" s="46" t="str">
        <x:v>docs/evidence_index.md</x:v>
      </x:c>
      <x:c r="K273" s="46" t="str">
        <x:v>python scripts/check_evidence_index.py</x:v>
      </x:c>
      <x:c r="L273" s="46" t="str">
        <x:v>깨진 경로·비공개 노출 0</x:v>
      </x:c>
      <x:c r="M273" s="46" t="str">
        <x:v>Production 쓰기 없음</x:v>
      </x:c>
      <x:c r="N273" s="46" t="str">
        <x:v>미착수</x:v>
      </x:c>
      <x:c r="O273" s="46"/>
      <x:c r="P273" s="46"/>
      <x:c r="Q273" s="46" t="str">
        <x:v>공동 계약 v0.1과 해당 Fixture/Mock 준비</x:v>
      </x:c>
      <x:c r="R273" s="46" t="str">
        <x:v>다른 트랙 결과가 없으면 공동 계약 기반 Mock/Fixture로 진행하고 차단 사유를 기록</x:v>
      </x:c>
    </x:row>
    <x:row r="274" ht="72" customHeight="1">
      <x:c r="A274" s="46" t="str">
        <x:v>21일차</x:v>
      </x:c>
      <x:c r="B274" s="46" t="n">
        <x:v>5</x:v>
      </x:c>
      <x:c r="C274" s="46" t="str">
        <x:v>백엔드·데이터</x:v>
      </x:c>
      <x:c r="D274" s="46" t="str">
        <x:v>D21-BE-05</x:v>
      </x:c>
      <x:c r="E274" s="46" t="str">
        <x:v>Pilot</x:v>
      </x:c>
      <x:c r="F274" s="46" t="str">
        <x:v>21일 이후 Shadow→승인형 Pilot 계획</x:v>
      </x:c>
      <x:c r="G274" s="46" t="str">
        <x:v>권한, owner, allowlist, threshold, rollback, monitoring, exit 조건을 단계별로 작성한다.</x:v>
      </x:c>
      <x:c r="H274" s="46" t="str">
        <x:v>docs/pilot_roadmap.md</x:v>
      </x:c>
      <x:c r="I274" s="46" t="str">
        <x:v>06 §13 · 00 사용안내, 09 Day 21, 10 전체</x:v>
      </x:c>
      <x:c r="J274" s="46" t="str">
        <x:v>docs/pilot_roadmap.md</x:v>
      </x:c>
      <x:c r="K274" s="46" t="str">
        <x:v>python scripts/check_pilot_roadmap.py</x:v>
      </x:c>
      <x:c r="L274" s="46" t="str">
        <x:v>실재고 자동변경은 검증 전 비활성</x:v>
      </x:c>
      <x:c r="M274" s="46" t="str">
        <x:v>Production 쓰기 없음</x:v>
      </x:c>
      <x:c r="N274" s="46" t="str">
        <x:v>미착수</x:v>
      </x:c>
      <x:c r="O274" s="46"/>
      <x:c r="P274" s="46"/>
      <x:c r="Q274" s="46" t="str">
        <x:v>공동 계약 v0.1과 해당 Fixture/Mock 준비</x:v>
      </x:c>
      <x:c r="R274" s="46" t="str">
        <x:v>다른 트랙 결과가 없으면 공동 계약 기반 Mock/Fixture로 진행하고 차단 사유를 기록</x:v>
      </x:c>
    </x:row>
    <x:row r="275" ht="72" customHeight="1">
      <x:c r="A275" s="47" t="str">
        <x:v>21일차</x:v>
      </x:c>
      <x:c r="B275" s="47" t="n">
        <x:v>1</x:v>
      </x:c>
      <x:c r="C275" s="47" t="str">
        <x:v>프론트엔드·제품</x:v>
      </x:c>
      <x:c r="D275" s="47" t="str">
        <x:v>D21-FE-01</x:v>
      </x:c>
      <x:c r="E275" s="47" t="str">
        <x:v>Demo</x:v>
      </x:c>
      <x:c r="F275" s="47" t="str">
        <x:v>데모 초기화·시연 흐름 잠금</x:v>
      </x:c>
      <x:c r="G275" s="47" t="str">
        <x:v>6개 시나리오를 5~8분 흐름으로 만들고 각 장면의 핵심 기술·안전 증거를 연결한다.</x:v>
      </x:c>
      <x:c r="H275" s="47" t="str">
        <x:v>docs/demo_script.md</x:v>
      </x:c>
      <x:c r="I275" s="47" t="str">
        <x:v>10 §12 · 00 사용안내, 09 Day 21, 10 전체</x:v>
      </x:c>
      <x:c r="J275" s="47" t="str">
        <x:v>docs/demo_script.md</x:v>
      </x:c>
      <x:c r="K275" s="47" t="str">
        <x:v>npm --prefix frontend run e2e -- demo-script</x:v>
      </x:c>
      <x:c r="L275" s="47" t="str">
        <x:v>시연 2회 연속 동일 결과</x:v>
      </x:c>
      <x:c r="M275" s="47" t="str">
        <x:v>Production 쓰기 없음</x:v>
      </x:c>
      <x:c r="N275" s="47" t="str">
        <x:v>미착수</x:v>
      </x:c>
      <x:c r="O275" s="47"/>
      <x:c r="P275" s="47"/>
      <x:c r="Q275" s="47" t="str">
        <x:v>공동 계약 v0.1과 해당 Fixture/Mock 준비</x:v>
      </x:c>
      <x:c r="R275" s="47" t="str">
        <x:v>다른 트랙 결과가 없으면 공동 계약 기반 Mock/Fixture로 진행하고 차단 사유를 기록</x:v>
      </x:c>
    </x:row>
    <x:row r="276" ht="72" customHeight="1">
      <x:c r="A276" s="47" t="str">
        <x:v>21일차</x:v>
      </x:c>
      <x:c r="B276" s="47" t="n">
        <x:v>2</x:v>
      </x:c>
      <x:c r="C276" s="47" t="str">
        <x:v>프론트엔드·제품</x:v>
      </x:c>
      <x:c r="D276" s="47" t="str">
        <x:v>D21-FE-02</x:v>
      </x:c>
      <x:c r="E276" s="47" t="str">
        <x:v>안내</x:v>
      </x:c>
      <x:c r="F276" s="47" t="str">
        <x:v>화면 안의 데이터·AI 한계 설명</x:v>
      </x:c>
      <x:c r="G276" s="47" t="str">
        <x:v>Demo 합성데이터, AI 제안, Production Read-Only, as_of, confidence를 첫 화면과 도움말에 표시한다.</x:v>
      </x:c>
      <x:c r="H276" s="47" t="str">
        <x:v>frontend/src/app/pages/SettingsPage.tsx · frontend/src/features/help/DemoGuide.tsx</x:v>
      </x:c>
      <x:c r="I276" s="47" t="str">
        <x:v>07 원칙 · 10 §1 · 00 사용안내, 09 Day 21, 10 전체</x:v>
      </x:c>
      <x:c r="J276" s="47" t="str">
        <x:v>frontend/src/app/help/page.tsx</x:v>
      </x:c>
      <x:c r="K276" s="47" t="str">
        <x:v>npm --prefix frontend test -- HelpPage</x:v>
      </x:c>
      <x:c r="L276" s="47" t="str">
        <x:v>오해 가능한 자동실행 표현 0</x:v>
      </x:c>
      <x:c r="M276" s="47" t="str">
        <x:v>Production 쓰기 없음</x:v>
      </x:c>
      <x:c r="N276" s="47" t="str">
        <x:v>미착수</x:v>
      </x:c>
      <x:c r="O276" s="47"/>
      <x:c r="P276" s="47"/>
      <x:c r="Q276" s="47" t="str">
        <x:v>공동 계약 v0.1과 해당 Fixture/Mock 준비</x:v>
      </x:c>
      <x:c r="R276" s="47" t="str">
        <x:v>다른 트랙 결과가 없으면 공동 계약 기반 Mock/Fixture로 진행하고 차단 사유를 기록</x:v>
      </x:c>
    </x:row>
    <x:row r="277" ht="72" customHeight="1">
      <x:c r="A277" s="48" t="str">
        <x:v>21일차</x:v>
      </x:c>
      <x:c r="B277" s="48" t="n">
        <x:v>3</x:v>
      </x:c>
      <x:c r="C277" s="48" t="str">
        <x:v>프론트엔드·제품</x:v>
      </x:c>
      <x:c r="D277" s="48" t="str">
        <x:v>D21-FE-03</x:v>
      </x:c>
      <x:c r="E277" s="48" t="str">
        <x:v>최종검수</x:v>
      </x:c>
      <x:c r="F277" s="48" t="str">
        <x:v>깨진 링크·오류·빈상태·반응형</x:v>
      </x:c>
      <x:c r="G277" s="48" t="str">
        <x:v>전체 화면의 링크, console error, 404, empty/loading/error 상태를 검수한다.</x:v>
      </x:c>
      <x:c r="H277" s="48" t="str">
        <x:v>artifacts/release/frontend_acceptance.json</x:v>
      </x:c>
      <x:c r="I277" s="48" t="str">
        <x:v>07 §16 · 00 사용안내, 09 Day 21, 10 전체</x:v>
      </x:c>
      <x:c r="J277" s="48" t="str">
        <x:v>artifacts/release/frontend_acceptance.json</x:v>
      </x:c>
      <x:c r="K277" s="48" t="str">
        <x:v>npm --prefix frontend run test:release</x:v>
      </x:c>
      <x:c r="L277" s="48" t="str">
        <x:v>critical UI 결함 0</x:v>
      </x:c>
      <x:c r="M277" s="48" t="str">
        <x:v>Production 쓰기 없음</x:v>
      </x:c>
      <x:c r="N277" s="48" t="str">
        <x:v>미착수</x:v>
      </x:c>
      <x:c r="O277" s="48"/>
      <x:c r="P277" s="48"/>
      <x:c r="Q277" s="48" t="str">
        <x:v>공동 계약 v0.1과 해당 Fixture/Mock 준비</x:v>
      </x:c>
      <x:c r="R277" s="48" t="str">
        <x:v>다른 트랙 결과가 없으면 공동 계약 기반 Mock/Fixture로 진행하고 차단 사유를 기록</x:v>
      </x:c>
    </x:row>
  </x:sheetData>
  <x:mergeCells>
    <x:mergeCell ref="A1:R1"/>
    <x:mergeCell ref="A2:R2"/>
  </x:mergeCells>
  <x:conditionalFormatting sqref="N5:N277">
    <x:cfRule type="containsText" dxfId="12" priority="1" operator="containsText" text="완료"/>
    <x:cfRule type="containsText" dxfId="13" priority="2" operator="containsText" text="진행 중"/>
    <x:cfRule type="containsText" dxfId="14" priority="3" operator="containsText" text="검토 대기"/>
    <x:cfRule type="containsText" dxfId="15" priority="4" operator="containsText" text="차단"/>
  </x:conditionalFormatting>
  <x:dataValidations count="1">
    <x:dataValidation type="list" sqref="N5:N277">
      <x:formula1>"미착수,진행 중,검토 대기,완료,차단"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381ab724ad41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7.780000686645508" hidden="0" customWidth="1"/>
    <x:col min="3" max="3" width="30" hidden="0" customWidth="1"/>
    <x:col min="4" max="4" width="28.889999389648438" hidden="0" customWidth="1"/>
    <x:col min="5" max="5" width="31.110000610351562" hidden="0" customWidth="1"/>
    <x:col min="6" max="6" width="10" hidden="0" customWidth="1"/>
    <x:col min="7" max="7" width="24.440000534057617" hidden="0" customWidth="1"/>
    <x:col min="8" max="8" width="21.110000610351562" hidden="0" customWidth="1"/>
    <x:col min="9" max="9" width="11.109999656677246" hidden="0" customWidth="1"/>
    <x:col min="10" max="10" width="24.440000534057617" hidden="0" customWidth="1"/>
  </x:cols>
  <x:sheetData>
    <x:row r="1" ht="30" customHeight="1">
      <x:c r="A1" s="5" t="str">
        <x:v>통합 확인일 · 세 트랙 연결과 안전 판정</x:v>
      </x:c>
      <x:c r="B1" s="5" t="str">
        <x:v>통합 확인일 · 세 트랙 연결과 안전 판정</x:v>
      </x:c>
      <x:c r="C1" s="5" t="str">
        <x:v>통합 확인일 · 세 트랙 연결과 안전 판정</x:v>
      </x:c>
      <x:c r="D1" s="5" t="str">
        <x:v>통합 확인일 · 세 트랙 연결과 안전 판정</x:v>
      </x:c>
      <x:c r="E1" s="5" t="str">
        <x:v>통합 확인일 · 세 트랙 연결과 안전 판정</x:v>
      </x:c>
      <x:c r="F1" s="5" t="str">
        <x:v>통합 확인일 · 세 트랙 연결과 안전 판정</x:v>
      </x:c>
      <x:c r="G1" s="5" t="str">
        <x:v>통합 확인일 · 세 트랙 연결과 안전 판정</x:v>
      </x:c>
      <x:c r="H1" s="5" t="str">
        <x:v>통합 확인일 · 세 트랙 연결과 안전 판정</x:v>
      </x:c>
      <x:c r="I1" s="5" t="str">
        <x:v>통합 확인일 · 세 트랙 연결과 안전 판정</x:v>
      </x:c>
      <x:c r="J1" s="5" t="str">
        <x:v>통합 확인일 · 세 트랙 연결과 안전 판정</x:v>
      </x:c>
    </x:row>
    <x:row r="2" ht="28" customHeight="1">
      <x:c r="A2" s="10" t="str">
        <x:v>‘게이트’는 새 기능이 아니라 다음 단계 전 확인점입니다. 다른 트랙을 기다리는 날이 아니며, 현재 구현된 기능·확정 계약·실제 연결 가능한 Interface만 연결합니다. 계약 차이는 임시 필드로 숨기지 않고 PARTIAL/BLOCKED Finding과 재검수 Day로 관리합니다.</x:v>
      </x:c>
      <x:c r="B2" s="10" t="str">
        <x:v>‘게이트’는 새 기능이 아니라 다음 단계 전 확인점입니다. 다른 트랙을 기다리는 날이 아니라, 현재 결과를 계약과 Mock으로 연결해 오류·안전을 찾는 날입니다.</x:v>
      </x:c>
      <x:c r="C2" s="10" t="str">
        <x:v>‘게이트’는 새 기능이 아니라 다음 단계 전 확인점입니다. 다른 트랙을 기다리는 날이 아니라, 현재 결과를 계약과 Mock으로 연결해 오류·안전을 찾는 날입니다.</x:v>
      </x:c>
      <x:c r="D2" s="10" t="str">
        <x:v>‘게이트’는 새 기능이 아니라 다음 단계 전 확인점입니다. 다른 트랙을 기다리는 날이 아니라, 현재 결과를 계약과 Mock으로 연결해 오류·안전을 찾는 날입니다.</x:v>
      </x:c>
      <x:c r="E2" s="10" t="str">
        <x:v>‘게이트’는 새 기능이 아니라 다음 단계 전 확인점입니다. 다른 트랙을 기다리는 날이 아니라, 현재 결과를 계약과 Mock으로 연결해 오류·안전을 찾는 날입니다.</x:v>
      </x:c>
      <x:c r="F2" s="10" t="str">
        <x:v>‘게이트’는 새 기능이 아니라 다음 단계 전 확인점입니다. 다른 트랙을 기다리는 날이 아니라, 현재 결과를 계약과 Mock으로 연결해 오류·안전을 찾는 날입니다.</x:v>
      </x:c>
      <x:c r="G2" s="10" t="str">
        <x:v>‘게이트’는 새 기능이 아니라 다음 단계 전 확인점입니다. 다른 트랙을 기다리는 날이 아니라, 현재 결과를 계약과 Mock으로 연결해 오류·안전을 찾는 날입니다.</x:v>
      </x:c>
      <x:c r="H2" s="10" t="str">
        <x:v>‘게이트’는 새 기능이 아니라 다음 단계 전 확인점입니다. 다른 트랙을 기다리는 날이 아니라, 현재 결과를 계약과 Mock으로 연결해 오류·안전을 찾는 날입니다.</x:v>
      </x:c>
      <x:c r="I2" s="10" t="str">
        <x:v>‘게이트’는 새 기능이 아니라 다음 단계 전 확인점입니다. 다른 트랙을 기다리는 날이 아니라, 현재 결과를 계약과 Mock으로 연결해 오류·안전을 찾는 날입니다.</x:v>
      </x:c>
      <x:c r="J2" s="10" t="str">
        <x:v>‘게이트’는 새 기능이 아니라 다음 단계 전 확인점입니다. 다른 트랙을 기다리는 날이 아니라, 현재 결과를 계약과 Mock으로 연결해 오류·안전을 찾는 날입니다.</x:v>
      </x:c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16" t="str">
        <x:v>일차</x:v>
      </x:c>
      <x:c r="B4" s="16" t="str">
        <x:v>확인 목적</x:v>
      </x:c>
      <x:c r="C4" s="16" t="str">
        <x:v>준비 입력</x:v>
      </x:c>
      <x:c r="D4" s="16" t="str">
        <x:v>실행 시나리오</x:v>
      </x:c>
      <x:c r="E4" s="16" t="str">
        <x:v>통과 조건</x:v>
      </x:c>
      <x:c r="F4" s="16" t="str">
        <x:v>상태</x:v>
      </x:c>
      <x:c r="G4" s="16" t="str">
        <x:v>증거 폴더</x:v>
      </x:c>
      <x:c r="H4" s="16" t="str">
        <x:v>차단 결함</x:v>
      </x:c>
      <x:c r="I4" s="16" t="str">
        <x:v>책임자</x:v>
      </x:c>
      <x:c r="J4" s="16" t="str">
        <x:v>확인 후 행동</x:v>
      </x:c>
    </x:row>
    <x:row r="5" ht="78" customHeight="1">
      <x:c r="A5" s="27" t="str">
        <x:v>4일차</x:v>
      </x:c>
      <x:c r="B5" s="27" t="str">
        <x:v>첫 Mock 통합</x:v>
      </x:c>
      <x:c r="C5" s="27" t="str">
        <x:v>계약 v0.1·Mock 수집·Mock AI·홈 화면</x:v>
      </x:c>
      <x:c r="D5" s="27" t="str">
        <x:v>Demo event→API→AI Mock→화면</x:v>
      </x:c>
      <x:c r="E5" s="27" t="str">
        <x:v>Production write 0, breaking contract 0, request_id 추적</x:v>
      </x:c>
      <x:c r="F5" s="27" t="str">
        <x:v>미착수</x:v>
      </x:c>
      <x:c r="G5" s="27" t="str">
        <x:v>artifacts/integration/day04/</x:v>
      </x:c>
      <x:c r="H5" s="27"/>
      <x:c r="I5" s="27"/>
      <x:c r="J5" s="27" t="str">
        <x:v>5일차 계획에 결함 반영</x:v>
      </x:c>
    </x:row>
    <x:row r="6" ht="78" customHeight="1">
      <x:c r="A6" s="28" t="str">
        <x:v>8일차</x:v>
      </x:c>
      <x:c r="B6" s="28" t="str">
        <x:v>읽기·정규화·재고 통합</x:v>
      </x:c>
      <x:c r="C6" s="28" t="str">
        <x:v>Provider read·normalizer·ledger·검색 baseline·D04-FE-INTEGRATION-001</x:v>
      </x:c>
      <x:c r="D6" s="28" t="str">
        <x:v>offline sale 중복 재생→Insight API→Inventory Queue/Evidence 재통합</x:v>
      </x:c>
      <x:c r="E6" s="28" t="str">
        <x:v>ledger 효과 1회, stale/mapping 안전분기, BM25/Vector trace, Backend 실제 Insight→EvidenceDrawer 계약 판정</x:v>
      </x:c>
      <x:c r="F6" s="28" t="str">
        <x:v>미착수</x:v>
      </x:c>
      <x:c r="G6" s="28" t="str">
        <x:v>artifacts/integration/day08/</x:v>
      </x:c>
      <x:c r="H6" s="28"/>
      <x:c r="I6" s="28"/>
      <x:c r="J6" s="28" t="str">
        <x:v>9일차 계획에 결함 반영; D04-FE-INTEGRATION-001 해결 또는 owner·다음 재검수 Day 유지</x:v>
      </x:c>
    </x:row>
    <x:row r="7" ht="78" customHeight="1">
      <x:c r="A7" s="28" t="str">
        <x:v>12일차</x:v>
      </x:c>
      <x:c r="B7" s="28" t="str">
        <x:v>P0 업무·RAG 통합</x:v>
      </x:c>
      <x:c r="C7" s="28" t="str">
        <x:v>예약부족·일정지연·Hybrid RAG·문의초안·D04-CONTRACT-002/003</x:v>
      </x:c>
      <x:c r="D7" s="28" t="str">
        <x:v>예약/지연/문의 3시나리오와 AI Response→Backend Projection→CS UI</x:v>
      </x:c>
      <x:c r="E7" s="28" t="str">
        <x:v>근거·fallback·원본 일정 불변·자동전송 0, Raw AI 응답 직접 소비 0, provenance 오표시 0</x:v>
      </x:c>
      <x:c r="F7" s="28" t="str">
        <x:v>미착수</x:v>
      </x:c>
      <x:c r="G7" s="28" t="str">
        <x:v>artifacts/integration/day12/</x:v>
      </x:c>
      <x:c r="H7" s="28"/>
      <x:c r="I7" s="28"/>
      <x:c r="J7" s="28" t="str">
        <x:v>13일차 계획에 결함 반영; D04-CONTRACT-002/003 해결 또는 owner·다음 재검수 Day 유지</x:v>
      </x:c>
    </x:row>
    <x:row r="8" ht="78" customHeight="1">
      <x:c r="A8" s="28" t="str">
        <x:v>16일차</x:v>
      </x:c>
      <x:c r="B8" s="28" t="str">
        <x:v>Graph·Memory·Agent 통합</x:v>
      </x:c>
      <x:c r="C8" s="28" t="str">
        <x:v>graph path·selective memory·checkpoint/resume</x:v>
      </x:c>
      <x:c r="D8" s="28" t="str">
        <x:v>관계문의·3-turn·timeout resume</x:v>
      </x:c>
      <x:c r="E8" s="28" t="str">
        <x:v>tool effect 1회, session 혼입 0, 무한호출 0</x:v>
      </x:c>
      <x:c r="F8" s="28" t="str">
        <x:v>미착수</x:v>
      </x:c>
      <x:c r="G8" s="28" t="str">
        <x:v>artifacts/integration/day16/</x:v>
      </x:c>
      <x:c r="H8" s="28"/>
      <x:c r="I8" s="28"/>
      <x:c r="J8" s="28" t="str">
        <x:v>17일차 계획에 결함 반영</x:v>
      </x:c>
    </x:row>
    <x:row r="9" ht="78" customHeight="1">
      <x:c r="A9" s="28" t="str">
        <x:v>20일차</x:v>
      </x:c>
      <x:c r="B9" s="28" t="str">
        <x:v>전체 Demo 후보</x:v>
      </x:c>
      <x:c r="C9" s="28" t="str">
        <x:v>6시나리오·AI 회귀·safety/chaos/perf</x:v>
      </x:c>
      <x:c r="D9" s="28" t="str">
        <x:v>clean Demo Tenant 전체 회귀</x:v>
      </x:c>
      <x:c r="E9" s="28" t="str">
        <x:v>6/6, PII/secret/write 0, blocking defect 0</x:v>
      </x:c>
      <x:c r="F9" s="28" t="str">
        <x:v>미착수</x:v>
      </x:c>
      <x:c r="G9" s="28" t="str">
        <x:v>artifacts/integration/day20/</x:v>
      </x:c>
      <x:c r="H9" s="28"/>
      <x:c r="I9" s="28"/>
      <x:c r="J9" s="28" t="str">
        <x:v>21일차 계획에 결함 반영</x:v>
      </x:c>
    </x:row>
    <x:row r="10" ht="78" customHeight="1">
      <x:c r="A10" s="29" t="str">
        <x:v>21일차</x:v>
      </x:c>
      <x:c r="B10" s="29" t="str">
        <x:v>최종 공개 확인</x:v>
      </x:c>
      <x:c r="C10" s="29" t="str">
        <x:v>재현·배포·문서·시연·Pilot 인계</x:v>
      </x:c>
      <x:c r="D10" s="29" t="str">
        <x:v>clean install→seed→demo→report</x:v>
      </x:c>
      <x:c r="E10" s="29" t="str">
        <x:v>release-check PASS 또는 명시적 보류, 공개물 비공개 노출 0</x:v>
      </x:c>
      <x:c r="F10" s="29" t="str">
        <x:v>미착수</x:v>
      </x:c>
      <x:c r="G10" s="29" t="str">
        <x:v>artifacts/release/</x:v>
      </x:c>
      <x:c r="H10" s="29"/>
      <x:c r="I10" s="29"/>
      <x:c r="J10" s="29" t="str">
        <x:v>공개 또는 보류 결정</x:v>
      </x:c>
    </x:row>
  </x:sheetData>
  <x:mergeCells>
    <x:mergeCell ref="A1:J1"/>
    <x:mergeCell ref="A2:J2"/>
  </x:mergeCells>
  <x:conditionalFormatting sqref="F5:F10">
    <x:cfRule type="containsText" dxfId="20" priority="1" operator="containsText" text="완료"/>
    <x:cfRule type="containsText" dxfId="21" priority="2" operator="containsText" text="진행 중"/>
    <x:cfRule type="containsText" dxfId="22" priority="3" operator="containsText" text="검토 대기"/>
    <x:cfRule type="containsText" dxfId="23" priority="4" operator="containsText" text="차단"/>
  </x:conditionalFormatting>
  <x:dataValidations count="1">
    <x:dataValidation type="list" sqref="F5:F10">
      <x:formula1>"미착수,진행 중,검토 대기,완료,차단"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f7b248c0a744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4.4399995803833" hidden="0" customWidth="1"/>
    <x:col min="3" max="3" width="22.219999313354492" hidden="0" customWidth="1"/>
    <x:col min="4" max="4" width="27.219999313354492" hidden="0" customWidth="1"/>
    <x:col min="5" max="5" width="40" hidden="0" customWidth="1"/>
    <x:col min="6" max="6" width="31.110000610351562" hidden="0" customWidth="1"/>
    <x:col min="7" max="7" width="12.779999732971191" hidden="0" customWidth="1"/>
    <x:col min="8" max="8" width="37.779998779296875" hidden="0" customWidth="1"/>
    <x:col min="9" max="9" width="31.110000610351562" hidden="0" customWidth="1"/>
    <x:col min="10" max="10" width="25.559999465942383" hidden="0" customWidth="1"/>
    <x:col min="11" max="11" width="10" hidden="0" customWidth="1"/>
    <x:col min="12" max="12" width="27.780000686645508" hidden="0" customWidth="1"/>
    <x:col min="13" max="13" width="11.109999656677246" hidden="0" customWidth="1"/>
    <x:col min="14" max="14" width="27.780000686645508" hidden="0" customWidth="1"/>
  </x:cols>
  <x:sheetData>
    <x:row r="1" ht="30" customHeight="1">
      <x:c r="A1" s="5" t="str">
        <x:v>외부 데이터 API·파일 연동 실행표</x:v>
      </x:c>
      <x:c r="B1" s="5" t="str">
        <x:v>외부 데이터 API·파일 연동 실행표</x:v>
      </x:c>
      <x:c r="C1" s="5" t="str">
        <x:v>외부 데이터 API·파일 연동 실행표</x:v>
      </x:c>
      <x:c r="D1" s="5" t="str">
        <x:v>외부 데이터 API·파일 연동 실행표</x:v>
      </x:c>
      <x:c r="E1" s="5" t="str">
        <x:v>외부 데이터 API·파일 연동 실행표</x:v>
      </x:c>
      <x:c r="F1" s="5" t="str">
        <x:v>외부 데이터 API·파일 연동 실행표</x:v>
      </x:c>
      <x:c r="G1" s="5" t="str">
        <x:v>외부 데이터 API·파일 연동 실행표</x:v>
      </x:c>
      <x:c r="H1" s="5" t="str">
        <x:v>외부 데이터 API·파일 연동 실행표</x:v>
      </x:c>
      <x:c r="I1" s="5" t="str">
        <x:v>외부 데이터 API·파일 연동 실행표</x:v>
      </x:c>
      <x:c r="J1" s="5" t="str">
        <x:v>외부 데이터 API·파일 연동 실행표</x:v>
      </x:c>
      <x:c r="K1" s="5" t="str">
        <x:v>외부 데이터 API·파일 연동 실행표</x:v>
      </x:c>
      <x:c r="L1" s="5" t="str">
        <x:v>외부 데이터 API·파일 연동 실행표</x:v>
      </x:c>
      <x:c r="M1" s="5" t="str">
        <x:v>외부 데이터 API·파일 연동 실행표</x:v>
      </x:c>
      <x:c r="N1" s="5" t="str">
        <x:v>외부 데이터 API·파일 연동 실행표</x:v>
      </x:c>
    </x:row>
    <x:row r="2" ht="28" customHeight="1">
      <x:c r="A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B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C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D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E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F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G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H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I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J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K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L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M2" s="10" t="str">
        <x:v>외부 endpoint·scope·제한은 공식 근거로만 확정합니다. API가 없으면 기능을 삭제하지 않고 같은 계약의 파일 Importer를 사용합니다. UNKNOWN은 Production 동기화를 차단합니다.</x:v>
      </x:c>
      <x:c r="N2" s="10" t="str">
        <x:v>외부 endpoint·scope·제한은 공식 근거로만 확정합니다. API가 없으면 기능을 삭제하지 않고 같은 계약의 파일 Importer를 사용합니다. UNKNOWN은 Production 동기화를 차단합니다.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32" customHeight="1">
      <x:c r="A4" s="16" t="str">
        <x:v>Provider</x:v>
      </x:c>
      <x:c r="B4" s="16" t="str">
        <x:v>단계</x:v>
      </x:c>
      <x:c r="C4" s="16" t="str">
        <x:v>수집 대상</x:v>
      </x:c>
      <x:c r="D4" s="16" t="str">
        <x:v>선택 규칙·연결 방식</x:v>
      </x:c>
      <x:c r="E4" s="16" t="str">
        <x:v>반드시 확정할 항목</x:v>
      </x:c>
      <x:c r="F4" s="16" t="str">
        <x:v>구현·증거 위치</x:v>
      </x:c>
      <x:c r="G4" s="16" t="str">
        <x:v>작업 ID</x:v>
      </x:c>
      <x:c r="H4" s="16" t="str">
        <x:v>검증 명령</x:v>
      </x:c>
      <x:c r="I4" s="16" t="str">
        <x:v>완료 조건</x:v>
      </x:c>
      <x:c r="J4" s="16" t="str">
        <x:v>API 불가·차단 시 대체</x:v>
      </x:c>
      <x:c r="K4" s="16" t="str">
        <x:v>상태</x:v>
      </x:c>
      <x:c r="L4" s="16" t="str">
        <x:v>공식 근거·확인시각</x:v>
      </x:c>
      <x:c r="M4" s="16" t="str">
        <x:v>담당자</x:v>
      </x:c>
      <x:c r="N4" s="16" t="str">
        <x:v>완료 증거</x:v>
      </x:c>
    </x:row>
    <x:row r="5" ht="84" customHeight="1">
      <x:c r="A5" s="27" t="str">
        <x:v>Cafe24</x:v>
      </x:c>
      <x:c r="B5" s="27" t="str">
        <x:v>방식·권한 결정</x:v>
      </x:c>
      <x:c r="C5" s="27" t="str">
        <x:v>상품·주문·문의·반품</x:v>
      </x:c>
      <x:c r="D5" s="27" t="str">
        <x:v>API_POLL 우선 검토</x:v>
      </x:c>
      <x:c r="E5" s="27" t="str">
        <x:v>공식 문서 URL·API 버전·인증·최소 read scope·resource/endpoint·pagination·rate limit·조회기간</x:v>
      </x:c>
      <x:c r="F5" s="27" t="str">
        <x:v>docs/provider_capabilities/cafe24.md</x:v>
      </x:c>
      <x:c r="G5" s="27" t="str">
        <x:v>D05-BE-01</x:v>
      </x:c>
      <x:c r="H5" s="27" t="str">
        <x:v>python scripts/check_capability_matrix.py --provider cafe24</x:v>
      </x:c>
      <x:c r="I5" s="27" t="str">
        <x:v>필수 결정필드 100%; UNKNOWN은 BLOCKED</x:v>
      </x:c>
      <x:c r="J5" s="27" t="str">
        <x:v>DemoProvider/공식 fixture</x:v>
      </x:c>
      <x:c r="K5" s="27" t="str">
        <x:v>미착수</x:v>
      </x:c>
      <x:c r="L5" s="27"/>
      <x:c r="M5" s="27"/>
      <x:c r="N5" s="27"/>
    </x:row>
    <x:row r="6" ht="84" customHeight="1">
      <x:c r="A6" s="28" t="str">
        <x:v>Cafe24</x:v>
      </x:c>
      <x:c r="B6" s="28" t="str">
        <x:v>실제 Read Adapter</x:v>
      </x:c>
      <x:c r="C6" s="28" t="str">
        <x:v>상품·주문·문의·반품</x:v>
      </x:c>
      <x:c r="D6" s="28" t="str">
        <x:v>결정기록의 지원 resource만</x:v>
      </x:c>
      <x:c r="E6" s="28" t="str">
        <x:v>ProviderReadPage(items,next_cursor,watermark,has_more)</x:v>
      </x:c>
      <x:c r="F6" s="28" t="str">
        <x:v>backend/app/adapters/providers/cafe24/adapter.py</x:v>
      </x:c>
      <x:c r="G6" s="28" t="str">
        <x:v>D05-BE-02</x:v>
      </x:c>
      <x:c r="H6" s="28" t="str">
        <x:v>pytest tests/providers/cafe24/test_read_adapter.py -q</x:v>
      </x:c>
      <x:c r="I6" s="28" t="str">
        <x:v>페이지·cursor·필드 계약 통과</x:v>
      </x:c>
      <x:c r="J6" s="28" t="str">
        <x:v>보호 파일 Importer</x:v>
      </x:c>
      <x:c r="K6" s="28" t="str">
        <x:v>미착수</x:v>
      </x:c>
      <x:c r="L6" s="28"/>
      <x:c r="M6" s="28"/>
      <x:c r="N6" s="28"/>
    </x:row>
    <x:row r="7" ht="84" customHeight="1">
      <x:c r="A7" s="28" t="str">
        <x:v>Cafe24</x:v>
      </x:c>
      <x:c r="B7" s="28" t="str">
        <x:v>보안·staging·제한 smoke</x:v>
      </x:c>
      <x:c r="C7" s="28" t="str">
        <x:v>최대 2 page/50 item</x:v>
      </x:c>
      <x:c r="D7" s="28" t="str">
        <x:v>GET/read scope만</x:v>
      </x:c>
      <x:c r="E7" s="28" t="str">
        <x:v>method/path/scope·raw/sanitized/canonical count·PII scan·source before/after·write count</x:v>
      </x:c>
      <x:c r="F7" s="28" t="str">
        <x:v>artifacts/integration/day05/cafe24_smoke.json</x:v>
      </x:c>
      <x:c r="G7" s="28" t="str">
        <x:v>D05-BE-03~05</x:v>
      </x:c>
      <x:c r="H7" s="28" t="str">
        <x:v>python scripts/assert_read_only_calls.py artifacts/integration/day05/cafe24_smoke.json</x:v>
      </x:c>
      <x:c r="I7" s="28" t="str">
        <x:v>write=0·source_changed=false·secret/PII=0</x:v>
      </x:c>
      <x:c r="J7" s="28" t="str">
        <x:v>승인 없으면 CONTRACT_ONLY</x:v>
      </x:c>
      <x:c r="K7" s="28" t="str">
        <x:v>미착수</x:v>
      </x:c>
      <x:c r="L7" s="28"/>
      <x:c r="M7" s="28"/>
      <x:c r="N7" s="28"/>
    </x:row>
    <x:row r="8" ht="84" customHeight="1">
      <x:c r="A8" s="28" t="str">
        <x:v>Toss POS</x:v>
      </x:c>
      <x:c r="B8" s="28" t="str">
        <x:v>수집방식 결정</x:v>
      </x:c>
      <x:c r="C8" s="28" t="str">
        <x:v>상품단위 판매</x:v>
      </x:c>
      <x:c r="D8" s="28" t="str">
        <x:v>API/Webhook+대사/File Import 중 1개</x:v>
      </x:c>
      <x:c r="E8" s="28" t="str">
        <x:v>공식 근거·증분키·상품코드·수량·취소/반품 표현·export 메뉴·제한</x:v>
      </x:c>
      <x:c r="F8" s="28" t="str">
        <x:v>docs/provider_capabilities/toss_pos.md</x:v>
      </x:c>
      <x:c r="G8" s="28" t="str">
        <x:v>D06-BE-01</x:v>
      </x:c>
      <x:c r="H8" s="28" t="str">
        <x:v>python scripts/check_capability_matrix.py --provider toss_pos</x:v>
      </x:c>
      <x:c r="I8" s="28" t="str">
        <x:v>선택 방식 1개·결손 규칙 명시</x:v>
      </x:c>
      <x:c r="J8" s="28" t="str">
        <x:v>FILE_IMPORT 또는 DemoProvider</x:v>
      </x:c>
      <x:c r="K8" s="28" t="str">
        <x:v>미착수</x:v>
      </x:c>
      <x:c r="L8" s="28"/>
      <x:c r="M8" s="28"/>
      <x:c r="N8" s="28"/>
    </x:row>
    <x:row r="9" ht="84" customHeight="1">
      <x:c r="A9" s="28" t="str">
        <x:v>Toss POS</x:v>
      </x:c>
      <x:c r="B9" s="28" t="str">
        <x:v>Adapter/Importer</x:v>
      </x:c>
      <x:c r="C9" s="28" t="str">
        <x:v>판매 이벤트</x:v>
      </x:c>
      <x:c r="D9" s="28" t="str">
        <x:v>D06-BE-01 선택 경로만</x:v>
      </x:c>
      <x:c r="E9" s="28" t="str">
        <x:v>API cursor 또는 file hash+row+batch_id; source identity 보존</x:v>
      </x:c>
      <x:c r="F9" s="28" t="str">
        <x:v>backend/app/adapters/providers/toss_pos/adapter.py · backend/app/adapters/importers/toss_pos.py</x:v>
      </x:c>
      <x:c r="G9" s="28" t="str">
        <x:v>D06-BE-02</x:v>
      </x:c>
      <x:c r="H9" s="28" t="str">
        <x:v>pytest tests/providers/toss_pos tests/importers/test_toss_pos.py -q</x:v>
      </x:c>
      <x:c r="I9" s="28" t="str">
        <x:v>중복 입력 효과 1회·결손은 Mapping Queue</x:v>
      </x:c>
      <x:c r="J9" s="28" t="str">
        <x:v>UNSUPPORTED 명시</x:v>
      </x:c>
      <x:c r="K9" s="28" t="str">
        <x:v>미착수</x:v>
      </x:c>
      <x:c r="L9" s="28"/>
      <x:c r="M9" s="28"/>
      <x:c r="N9" s="28"/>
    </x:row>
    <x:row r="10" ht="84" customHeight="1">
      <x:c r="A10" s="28" t="str">
        <x:v>eCount</x:v>
      </x:c>
      <x:c r="B10" s="28" t="str">
        <x:v>수집방식 결정</x:v>
      </x:c>
      <x:c r="C10" s="28" t="str">
        <x:v>재고 snapshot·입고예정·판매</x:v>
      </x:c>
      <x:c r="D10" s="28" t="str">
        <x:v>resource별 API/File Import/Unsupported</x:v>
      </x:c>
      <x:c r="E10" s="28" t="str">
        <x:v>공식 근거·인증·증분키·창고·단위·상품코드·조회기간·export 메뉴</x:v>
      </x:c>
      <x:c r="F10" s="28" t="str">
        <x:v>docs/provider_capabilities/ecount.md</x:v>
      </x:c>
      <x:c r="G10" s="28" t="str">
        <x:v>D06-BE-03</x:v>
      </x:c>
      <x:c r="H10" s="28" t="str">
        <x:v>python scripts/check_capability_matrix.py --provider ecount</x:v>
      </x:c>
      <x:c r="I10" s="28" t="str">
        <x:v>resource별 방식·미지원·대체 확정</x:v>
      </x:c>
      <x:c r="J10" s="28" t="str">
        <x:v>FILE_IMPORT 또는 DemoProvider</x:v>
      </x:c>
      <x:c r="K10" s="28" t="str">
        <x:v>미착수</x:v>
      </x:c>
      <x:c r="L10" s="28"/>
      <x:c r="M10" s="28"/>
      <x:c r="N10" s="28"/>
    </x:row>
    <x:row r="11" ht="84" customHeight="1">
      <x:c r="A11" s="28" t="str">
        <x:v>eCount</x:v>
      </x:c>
      <x:c r="B11" s="28" t="str">
        <x:v>Adapter/Importer</x:v>
      </x:c>
      <x:c r="C11" s="28" t="str">
        <x:v>재고·입고·판매</x:v>
      </x:c>
      <x:c r="D11" s="28" t="str">
        <x:v>D06-BE-03 선택 경로만</x:v>
      </x:c>
      <x:c r="E11" s="28" t="str">
        <x:v>cursor 또는 file hash+batch_id; 단위/창고 누락 quarantine</x:v>
      </x:c>
      <x:c r="F11" s="28" t="str">
        <x:v>backend/app/adapters/providers/ecount/adapter.py · backend/app/adapters/importers/ecount.py</x:v>
      </x:c>
      <x:c r="G11" s="28" t="str">
        <x:v>D06-BE-04</x:v>
      </x:c>
      <x:c r="H11" s="28" t="str">
        <x:v>pytest tests/providers/ecount tests/importers/test_ecount.py -q</x:v>
      </x:c>
      <x:c r="I11" s="28" t="str">
        <x:v>중복 효과 1회·불명확 수량 미반영</x:v>
      </x:c>
      <x:c r="J11" s="28" t="str">
        <x:v>UNSUPPORTED 명시</x:v>
      </x:c>
      <x:c r="K11" s="28" t="str">
        <x:v>미착수</x:v>
      </x:c>
      <x:c r="L11" s="28"/>
      <x:c r="M11" s="28"/>
      <x:c r="N11" s="28"/>
    </x:row>
    <x:row r="12" ht="84" customHeight="1">
      <x:c r="A12" s="28" t="str">
        <x:v>공통</x:v>
      </x:c>
      <x:c r="B12" s="28" t="str">
        <x:v>DTO→Canonical</x:v>
      </x:c>
      <x:c r="C12" s="28" t="str">
        <x:v>product/order/sale/inventory/incoming/event</x:v>
      </x:c>
      <x:c r="D12" s="28" t="str">
        <x:v>선택 경로 fixture 공통 변환</x:v>
      </x:c>
      <x:c r="E12" s="28" t="str">
        <x:v>source path·변환식·단위·nullable·unknown 정책</x:v>
      </x:c>
      <x:c r="F12" s="28" t="str">
        <x:v>contracts/provider_field_mapping.yaml</x:v>
      </x:c>
      <x:c r="G12" s="28" t="str">
        <x:v>D06-BE-05</x:v>
      </x:c>
      <x:c r="H12" s="28" t="str">
        <x:v>pytest tests/normalizers tests/data_quality/test_canonical_checks.py -q</x:v>
      </x:c>
      <x:c r="I12" s="28" t="str">
        <x:v>field coverage 100%·추정값 0</x:v>
      </x:c>
      <x:c r="J12" s="28" t="str">
        <x:v>NOT_LIVE_VERIFIED 표기</x:v>
      </x:c>
      <x:c r="K12" s="28" t="str">
        <x:v>미착수</x:v>
      </x:c>
      <x:c r="L12" s="28"/>
      <x:c r="M12" s="28"/>
      <x:c r="N12" s="28"/>
    </x:row>
    <x:row r="13" ht="84" customHeight="1">
      <x:c r="A13" s="28" t="str">
        <x:v>공통</x:v>
      </x:c>
      <x:c r="B13" s="28" t="str">
        <x:v>증분 상태</x:v>
      </x:c>
      <x:c r="C13" s="28" t="str">
        <x:v>tenant/provider/resource</x:v>
      </x:c>
      <x:c r="D13" s="28" t="str">
        <x:v>cursor/watermark 또는 file hash/batch_id</x:v>
      </x:c>
      <x:c r="E13" s="28" t="str">
        <x:v>last_success·overlap·schema_version·last_error; 성공 transaction 뒤 commit</x:v>
      </x:c>
      <x:c r="F13" s="28" t="str">
        <x:v>backend/app/sync/cursor_store.py</x:v>
      </x:c>
      <x:c r="G13" s="28" t="str">
        <x:v>D07-BE-01</x:v>
      </x:c>
      <x:c r="H13" s="28" t="str">
        <x:v>pytest tests/sync/test_cursor_store.py -q</x:v>
      </x:c>
      <x:c r="I13" s="28" t="str">
        <x:v>실패 page에서 cursor 미전진</x:v>
      </x:c>
      <x:c r="J13" s="28" t="str">
        <x:v>파일 checkpoint</x:v>
      </x:c>
      <x:c r="K13" s="28" t="str">
        <x:v>미착수</x:v>
      </x:c>
      <x:c r="L13" s="28"/>
      <x:c r="M13" s="28"/>
      <x:c r="N13" s="28"/>
    </x:row>
    <x:row r="14" ht="84" customHeight="1">
      <x:c r="A14" s="28" t="str">
        <x:v>공통</x:v>
      </x:c>
      <x:c r="B14" s="28" t="str">
        <x:v>호출 제어</x:v>
      </x:c>
      <x:c r="C14" s="28" t="str">
        <x:v>pagination·429·5xx·timeout</x:v>
      </x:c>
      <x:c r="D14" s="28" t="str">
        <x:v>bounded retry+Retry-After</x:v>
      </x:c>
      <x:c r="E14" s="28" t="str">
        <x:v>max page/item/time·backoff+jitter·재시도 가능 오류</x:v>
      </x:c>
      <x:c r="F14" s="28" t="str">
        <x:v>backend/app/sync/runner.py · retry_policy.py</x:v>
      </x:c>
      <x:c r="G14" s="28" t="str">
        <x:v>D07-BE-02</x:v>
      </x:c>
      <x:c r="H14" s="28" t="str">
        <x:v>pytest tests/sync/test_pagination_retry.py tests/sync/test_partial_failure.py -q</x:v>
      </x:c>
      <x:c r="I14" s="28" t="str">
        <x:v>무한호출 0·재개 가능</x:v>
      </x:c>
      <x:c r="J14" s="28" t="str">
        <x:v>fault fixture</x:v>
      </x:c>
      <x:c r="K14" s="28" t="str">
        <x:v>미착수</x:v>
      </x:c>
      <x:c r="L14" s="28"/>
      <x:c r="M14" s="28"/>
      <x:c r="N14" s="28"/>
    </x:row>
    <x:row r="15" ht="84" customHeight="1">
      <x:c r="A15" s="28" t="str">
        <x:v>공통</x:v>
      </x:c>
      <x:c r="B15" s="28" t="str">
        <x:v>중복·격리·재처리</x:v>
      </x:c>
      <x:c r="C15" s="28" t="str">
        <x:v>source identity·mapping</x:v>
      </x:c>
      <x:c r="D15" s="28" t="str">
        <x:v>Inbox+Ledger idempotency</x:v>
      </x:c>
      <x:c r="E15" s="28" t="str">
        <x:v>quarantine reason·mapping evidence·reprocess audit</x:v>
      </x:c>
      <x:c r="F15" s="28" t="str">
        <x:v>backend/app/worker/ingestion/ · backend/app/routes/mappings.py</x:v>
      </x:c>
      <x:c r="G15" s="28" t="str">
        <x:v>D07-BE-03</x:v>
      </x:c>
      <x:c r="H15" s="28" t="str">
        <x:v>pytest tests/ingestion tests/api/test_mapping_queue.py -q</x:v>
      </x:c>
      <x:c r="I15" s="28" t="str">
        <x:v>10회 재생 효과 1회·자동병합 0</x:v>
      </x:c>
      <x:c r="J15" s="28" t="str">
        <x:v>수동 검토 유지</x:v>
      </x:c>
      <x:c r="K15" s="28" t="str">
        <x:v>미착수</x:v>
      </x:c>
      <x:c r="L15" s="28"/>
      <x:c r="M15" s="28"/>
      <x:c r="N15" s="28"/>
    </x:row>
    <x:row r="16" ht="84" customHeight="1">
      <x:c r="A16" s="28" t="str">
        <x:v>공통</x:v>
      </x:c>
      <x:c r="B16" s="28" t="str">
        <x:v>Shadow inventory</x:v>
      </x:c>
      <x:c r="C16" s="28" t="str">
        <x:v>snapshot+delta-reserved</x:v>
      </x:c>
      <x:c r="D16" s="28" t="str">
        <x:v>읽기·계산·제안만</x:v>
      </x:c>
      <x:c r="E16" s="28" t="str">
        <x:v>근거 ID·freshness·허용오차·UNKNOWN</x:v>
      </x:c>
      <x:c r="F16" s="28" t="str">
        <x:v>backend/app/services/inventory_*.py</x:v>
      </x:c>
      <x:c r="G16" s="28" t="str">
        <x:v>D07-BE-04~05</x:v>
      </x:c>
      <x:c r="H16" s="28" t="str">
        <x:v>pytest tests/inventory -q &amp;&amp; make benchmark-inventory</x:v>
      </x:c>
      <x:c r="I16" s="28" t="str">
        <x:v>계산 재현·stale 확정경고 0</x:v>
      </x:c>
      <x:c r="J16" s="28" t="str">
        <x:v>가용 source만 표시</x:v>
      </x:c>
      <x:c r="K16" s="28" t="str">
        <x:v>미착수</x:v>
      </x:c>
      <x:c r="L16" s="28"/>
      <x:c r="M16" s="28"/>
      <x:c r="N16" s="28"/>
    </x:row>
    <x:row r="17" ht="84" customHeight="1">
      <x:c r="A17" s="29" t="str">
        <x:v>전체</x:v>
      </x:c>
      <x:c r="B17" s="29" t="str">
        <x:v>통합·안전 판정</x:v>
      </x:c>
      <x:c r="C17" s="29" t="str">
        <x:v>Cafe24/Toss/eCount</x:v>
      </x:c>
      <x:c r="D17" s="29" t="str">
        <x:v>LIVE_READ/FILE_IMPORT/CONTRACT_ONLY/UNSUPPORTED</x:v>
      </x:c>
      <x:c r="E17" s="29" t="str">
        <x:v>count 대사·cursor 재개·429·중복·PII/secret·write count·source unchanged</x:v>
      </x:c>
      <x:c r="F17" s="29" t="str">
        <x:v>artifacts/integration/day08/provider_read_manifest.json</x:v>
      </x:c>
      <x:c r="G17" s="29" t="str">
        <x:v>D08-BE-01~05</x:v>
      </x:c>
      <x:c r="H17" s="29" t="str">
        <x:v>pytest tests/integration/test_day08_* -q &amp;&amp; python scripts/validate_provider_read_manifest.py artifacts/integration/day08/provider_read_manifest.json</x:v>
      </x:c>
      <x:c r="I17" s="29" t="str">
        <x:v>Provider/resource별 상태·근거·owner·다음조치; 추측 항목 0</x:v>
      </x:c>
      <x:c r="J17" s="29" t="str">
        <x:v>차단 기능은 Mock/Importer로 계속</x:v>
      </x:c>
      <x:c r="K17" s="29" t="str">
        <x:v>미착수</x:v>
      </x:c>
      <x:c r="L17" s="29"/>
      <x:c r="M17" s="29"/>
      <x:c r="N17" s="29"/>
    </x:row>
  </x:sheetData>
  <x:mergeCells>
    <x:mergeCell ref="A1:N1"/>
    <x:mergeCell ref="A2:N2"/>
  </x:mergeCells>
  <x:conditionalFormatting sqref="K5:K17">
    <x:cfRule type="containsText" dxfId="16" priority="1" operator="containsText" text="완료"/>
    <x:cfRule type="containsText" dxfId="17" priority="2" operator="containsText" text="진행 중"/>
    <x:cfRule type="containsText" dxfId="18" priority="3" operator="containsText" text="검토 대기"/>
    <x:cfRule type="containsText" dxfId="19" priority="4" operator="containsText" text="차단"/>
  </x:conditionalFormatting>
  <x:dataValidations count="1">
    <x:dataValidation type="list" sqref="K5:K17">
      <x:formula1>"미착수,진행 중,검토 대기,완료,차단"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df22e17f9148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18.889999389648438" hidden="0" customWidth="1"/>
    <x:col min="3" max="3" width="40" hidden="0" customWidth="1"/>
    <x:col min="4" max="4" width="26.670000076293945" hidden="0" customWidth="1"/>
    <x:col min="5" max="5" width="13.329999923706055" hidden="0" customWidth="1"/>
    <x:col min="6" max="6" width="16.670000076293945" hidden="0" customWidth="1"/>
    <x:col min="7" max="7" width="33.33000183105469" hidden="0" customWidth="1"/>
    <x:col min="8" max="8" width="10" hidden="0" customWidth="1"/>
    <x:col min="9" max="9" width="26.670000076293945" hidden="0" customWidth="1"/>
    <x:col min="10" max="10" width="28.889999389648438" hidden="0" customWidth="1"/>
  </x:cols>
  <x:sheetData>
    <x:row r="1" ht="30" customHeight="1">
      <x:c r="A1" s="5" t="str">
        <x:v>Figma AI 디자인 → 통합 구현 묶음 인계표</x:v>
      </x:c>
      <x:c r="B1" s="5" t="str">
        <x:v>Figma AI 디자인 → Codex 구현 인계표</x:v>
      </x:c>
      <x:c r="C1" s="5" t="str">
        <x:v>Figma AI 디자인 → Codex 구현 인계표</x:v>
      </x:c>
      <x:c r="D1" s="5" t="str">
        <x:v>Figma AI 디자인 → Codex 구현 인계표</x:v>
      </x:c>
      <x:c r="E1" s="5" t="str">
        <x:v>Figma AI 디자인 → Codex 구현 인계표</x:v>
      </x:c>
      <x:c r="F1" s="5" t="str">
        <x:v>Figma AI 디자인 → Codex 구현 인계표</x:v>
      </x:c>
      <x:c r="G1" s="5" t="str">
        <x:v>Figma AI 디자인 → Codex 구현 인계표</x:v>
      </x:c>
      <x:c r="H1" s="5" t="str">
        <x:v>Figma AI 디자인 → Codex 구현 인계표</x:v>
      </x:c>
      <x:c r="I1" s="5" t="str">
        <x:v>Figma AI 디자인 → Codex 구현 인계표</x:v>
      </x:c>
      <x:c r="J1" s="5" t="str">
        <x:v>Figma AI 디자인 → Codex 구현 인계표</x:v>
      </x:c>
    </x:row>
    <x:row r="2" ht="28" customHeight="1">
      <x:c r="A2" s="10" t="str">
        <x:v>Figma AI와 프론트 질문지는 디자인·상태·인계 자료를 완성합니다. 실제 제품 코드는 화면마다 Codex를 호출하지 않고 준비된 API 계약·Mock·완료 기준과 함께 통합 구현 묶음에서 처리합니다. Figma의 임의 필드는 코드 계약으로 사용하지 않습니다.</x:v>
      </x:c>
      <x:c r="B2" s="10" t="str">
        <x:v>Figma AI는 화면 디자인을 한 번에 만들고, 실제 제품 코드는 Codex가 API 계약과 인계 문서를 기준으로 구현합니다. Figma가 만든 임의 데이터 필드는 코드 계약으로 사용하지 않습니다.</x:v>
      </x:c>
      <x:c r="C2" s="10" t="str">
        <x:v>Figma AI는 화면 디자인을 한 번에 만들고, 실제 제품 코드는 Codex가 API 계약과 인계 문서를 기준으로 구현합니다. Figma가 만든 임의 데이터 필드는 코드 계약으로 사용하지 않습니다.</x:v>
      </x:c>
      <x:c r="D2" s="10" t="str">
        <x:v>Figma AI는 화면 디자인을 한 번에 만들고, 실제 제품 코드는 Codex가 API 계약과 인계 문서를 기준으로 구현합니다. Figma가 만든 임의 데이터 필드는 코드 계약으로 사용하지 않습니다.</x:v>
      </x:c>
      <x:c r="E2" s="10" t="str">
        <x:v>Figma AI는 화면 디자인을 한 번에 만들고, 실제 제품 코드는 Codex가 API 계약과 인계 문서를 기준으로 구현합니다. Figma가 만든 임의 데이터 필드는 코드 계약으로 사용하지 않습니다.</x:v>
      </x:c>
      <x:c r="F2" s="10" t="str">
        <x:v>Figma AI는 화면 디자인을 한 번에 만들고, 실제 제품 코드는 Codex가 API 계약과 인계 문서를 기준으로 구현합니다. Figma가 만든 임의 데이터 필드는 코드 계약으로 사용하지 않습니다.</x:v>
      </x:c>
      <x:c r="G2" s="10" t="str">
        <x:v>Figma AI는 화면 디자인을 한 번에 만들고, 실제 제품 코드는 Codex가 API 계약과 인계 문서를 기준으로 구현합니다. Figma가 만든 임의 데이터 필드는 코드 계약으로 사용하지 않습니다.</x:v>
      </x:c>
      <x:c r="H2" s="10" t="str">
        <x:v>Figma AI는 화면 디자인을 한 번에 만들고, 실제 제품 코드는 Codex가 API 계약과 인계 문서를 기준으로 구현합니다. Figma가 만든 임의 데이터 필드는 코드 계약으로 사용하지 않습니다.</x:v>
      </x:c>
      <x:c r="I2" s="10" t="str">
        <x:v>Figma AI는 화면 디자인을 한 번에 만들고, 실제 제품 코드는 Codex가 API 계약과 인계 문서를 기준으로 구현합니다. Figma가 만든 임의 데이터 필드는 코드 계약으로 사용하지 않습니다.</x:v>
      </x:c>
      <x:c r="J2" s="10" t="str">
        <x:v>Figma AI는 화면 디자인을 한 번에 만들고, 실제 제품 코드는 Codex가 API 계약과 인계 문서를 기준으로 구현합니다. Figma가 만든 임의 데이터 필드는 코드 계약으로 사용하지 않습니다.</x:v>
      </x:c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16" t="str">
        <x:v>순서</x:v>
      </x:c>
      <x:c r="B4" s="16" t="str">
        <x:v>인계 항목</x:v>
      </x:c>
      <x:c r="C4" s="16" t="str">
        <x:v>필수 내용</x:v>
      </x:c>
      <x:c r="D4" s="16" t="str">
        <x:v>기준 문서·입력</x:v>
      </x:c>
      <x:c r="E4" s="16" t="str">
        <x:v>책임</x:v>
      </x:c>
      <x:c r="F4" s="16" t="str">
        <x:v>작업 ID</x:v>
      </x:c>
      <x:c r="G4" s="16" t="str">
        <x:v>완료 조건</x:v>
      </x:c>
      <x:c r="H4" s="16" t="str">
        <x:v>상태</x:v>
      </x:c>
      <x:c r="I4" s="16" t="str">
        <x:v>증거 경로</x:v>
      </x:c>
      <x:c r="J4" s="16" t="str">
        <x:v>막힘·다음 조치</x:v>
      </x:c>
    </x:row>
    <x:row r="5" ht="78" customHeight="1">
      <x:c r="A5" s="27" t="str">
        <x:v>1</x:v>
      </x:c>
      <x:c r="B5" s="27" t="str">
        <x:v>Figma 파일·페이지 구조</x:v>
      </x:c>
      <x:c r="C5" s="27" t="str">
        <x:v>00_Foundations, 01_Components, 02_Screens, 03_States, 04_Prototype</x:v>
      </x:c>
      <x:c r="D5" s="27" t="str">
        <x:v>07 §0 Master Prompt</x:v>
      </x:c>
      <x:c r="E5" s="27" t="str">
        <x:v>Figma AI</x:v>
      </x:c>
      <x:c r="F5" s="27" t="str">
        <x:v>D01-FE-01</x:v>
      </x:c>
      <x:c r="G5" s="27" t="str">
        <x:v>5개 페이지와 이름 규칙 존재</x:v>
      </x:c>
      <x:c r="H5" s="27" t="str">
        <x:v>미착수</x:v>
      </x:c>
      <x:c r="I5" s="27"/>
      <x:c r="J5" s="27"/>
    </x:row>
    <x:row r="6" ht="78" customHeight="1">
      <x:c r="A6" s="28" t="str">
        <x:v>2</x:v>
      </x:c>
      <x:c r="B6" s="28" t="str">
        <x:v>디자인 시스템</x:v>
      </x:c>
      <x:c r="C6" s="28" t="str">
        <x:v>색상·타이포·4/8px 간격·radius·shadow·table density·icon 규칙</x:v>
      </x:c>
      <x:c r="D6" s="28" t="str">
        <x:v>실제 값은 handoff.md에 기록</x:v>
      </x:c>
      <x:c r="E6" s="28" t="str">
        <x:v>Figma AI+프론트</x:v>
      </x:c>
      <x:c r="F6" s="28" t="str">
        <x:v>D01-FE-01</x:v>
      </x:c>
      <x:c r="G6" s="28" t="str">
        <x:v>token 이름·값·사용처 누락 0</x:v>
      </x:c>
      <x:c r="H6" s="28" t="str">
        <x:v>미착수</x:v>
      </x:c>
      <x:c r="I6" s="28"/>
      <x:c r="J6" s="28"/>
    </x:row>
    <x:row r="7" ht="78" customHeight="1">
      <x:c r="A7" s="28" t="str">
        <x:v>3</x:v>
      </x:c>
      <x:c r="B7" s="28" t="str">
        <x:v>공통 컴포넌트</x:v>
      </x:c>
      <x:c r="C7" s="28" t="str">
        <x:v>Navigation, Header, EnvironmentBanner, Table, Card, Badge, Drawer, Filter, Modal, Toast</x:v>
      </x:c>
      <x:c r="D7" s="28" t="str">
        <x:v>variant와 상태 포함</x:v>
      </x:c>
      <x:c r="E7" s="28" t="str">
        <x:v>Figma AI+프론트</x:v>
      </x:c>
      <x:c r="F7" s="28" t="str">
        <x:v>D01-FE-01</x:v>
      </x:c>
      <x:c r="G7" s="28" t="str">
        <x:v>필수 10종과 variant 명시</x:v>
      </x:c>
      <x:c r="H7" s="28" t="str">
        <x:v>미착수</x:v>
      </x:c>
      <x:c r="I7" s="28"/>
      <x:c r="J7" s="28"/>
    </x:row>
    <x:row r="8" ht="78" customHeight="1">
      <x:c r="A8" s="28" t="str">
        <x:v>4</x:v>
      </x:c>
      <x:c r="B8" s="28" t="str">
        <x:v>7개 핵심 화면</x:v>
      </x:c>
      <x:c r="C8" s="28" t="str">
        <x:v>홈·상품재고·주문판매·고객문의·운영일정·AI분석·연동설정</x:v>
      </x:c>
      <x:c r="D8" s="28" t="str">
        <x:v>1280px Desktop</x:v>
      </x:c>
      <x:c r="E8" s="28" t="str">
        <x:v>Figma AI</x:v>
      </x:c>
      <x:c r="F8" s="28" t="str">
        <x:v>D01-FE-01</x:v>
      </x:c>
      <x:c r="G8" s="28" t="str">
        <x:v>화면 7개와 대표 데이터 상태</x:v>
      </x:c>
      <x:c r="H8" s="28" t="str">
        <x:v>미착수</x:v>
      </x:c>
      <x:c r="I8" s="28"/>
      <x:c r="J8" s="28"/>
    </x:row>
    <x:row r="9" ht="78" customHeight="1">
      <x:c r="A9" s="28" t="str">
        <x:v>5</x:v>
      </x:c>
      <x:c r="B9" s="28" t="str">
        <x:v>필수 시스템 상태</x:v>
      </x:c>
      <x:c r="C9" s="28" t="str">
        <x:v>Loading, Empty, Stale, Denied, Partial Failure, Ambiguous, Low Confidence</x:v>
      </x:c>
      <x:c r="D9" s="28" t="str">
        <x:v>07 §13</x:v>
      </x:c>
      <x:c r="E9" s="28" t="str">
        <x:v>Figma AI+프론트</x:v>
      </x:c>
      <x:c r="F9" s="28" t="str">
        <x:v>D01-FE-01·D02-FE-01~03</x:v>
      </x:c>
      <x:c r="G9" s="28" t="str">
        <x:v>7상태가 컴포넌트 또는 화면 variant로 존재</x:v>
      </x:c>
      <x:c r="H9" s="28" t="str">
        <x:v>미착수</x:v>
      </x:c>
      <x:c r="I9" s="28"/>
      <x:c r="J9" s="28"/>
    </x:row>
    <x:row r="10" ht="78" customHeight="1">
      <x:c r="A10" s="28" t="str">
        <x:v>6</x:v>
      </x:c>
      <x:c r="B10" s="28" t="str">
        <x:v>안전 검수</x:v>
      </x:c>
      <x:c r="C10" s="28" t="str">
        <x:v>Production Read-Only, Demo, Draft, Evidence, 금지 CTA</x:v>
      </x:c>
      <x:c r="D10" s="28" t="str">
        <x:v>06 운영안전</x:v>
      </x:c>
      <x:c r="E10" s="28" t="str">
        <x:v>프론트</x:v>
      </x:c>
      <x:c r="F10" s="28" t="str">
        <x:v>D01-FE-01~02</x:v>
      </x:c>
      <x:c r="G10" s="28" t="str">
        <x:v>환불·취소·가격·실재고 변경 CTA 0</x:v>
      </x:c>
      <x:c r="H10" s="28" t="str">
        <x:v>미착수</x:v>
      </x:c>
      <x:c r="I10" s="28"/>
      <x:c r="J10" s="28"/>
    </x:row>
    <x:row r="11" ht="78" customHeight="1">
      <x:c r="A11" s="28" t="str">
        <x:v>7</x:v>
      </x:c>
      <x:c r="B11" s="28" t="str">
        <x:v>코드 Token 매핑</x:v>
      </x:c>
      <x:c r="C11" s="28" t="str">
        <x:v>Figma token → tokens.css/Theme</x:v>
      </x:c>
      <x:c r="D11" s="28" t="str">
        <x:v>frontend/design/figma/handoff.md</x:v>
      </x:c>
      <x:c r="E11" s="28" t="str">
        <x:v>프론트 질문지 → 통합 Codex C1/C2</x:v>
      </x:c>
      <x:c r="F11" s="28" t="str">
        <x:v>D01-FE-02</x:v>
      </x:c>
      <x:c r="G11" s="28" t="str">
        <x:v>이름·값·컴포넌트 사용처 매핑</x:v>
      </x:c>
      <x:c r="H11" s="28" t="str">
        <x:v>미착수</x:v>
      </x:c>
      <x:c r="I11" s="28"/>
      <x:c r="J11" s="28"/>
    </x:row>
    <x:row r="12" ht="78" customHeight="1">
      <x:c r="A12" s="28" t="str">
        <x:v>8</x:v>
      </x:c>
      <x:c r="B12" s="28" t="str">
        <x:v>라우트·공통 틀</x:v>
      </x:c>
      <x:c r="C12" s="28" t="str">
        <x:v>7 routes, Navigation, Header, EnvironmentBanner</x:v>
      </x:c>
      <x:c r="D12" s="28" t="str">
        <x:v>Figma는 시각 기준·05는 데이터 기준</x:v>
      </x:c>
      <x:c r="E12" s="28" t="str">
        <x:v>프론트 질문지 → 통합 Codex C1/C2</x:v>
      </x:c>
      <x:c r="F12" s="28" t="str">
        <x:v>D01-FE-02</x:v>
      </x:c>
      <x:c r="G12" s="28" t="str">
        <x:v>route와 배지 test 통과</x:v>
      </x:c>
      <x:c r="H12" s="28" t="str">
        <x:v>미착수</x:v>
      </x:c>
      <x:c r="I12" s="28"/>
      <x:c r="J12" s="28"/>
    </x:row>
    <x:row r="13" ht="78" customHeight="1">
      <x:c r="A13" s="28" t="str">
        <x:v>9</x:v>
      </x:c>
      <x:c r="B13" s="28" t="str">
        <x:v>Mock/API 계약</x:v>
      </x:c>
      <x:c r="C13" s="28" t="str">
        <x:v>OpenAPI/JSON Schema generated type와 Fixture</x:v>
      </x:c>
      <x:c r="D13" s="28" t="str">
        <x:v>05 데이터·API 명세</x:v>
      </x:c>
      <x:c r="E13" s="28" t="str">
        <x:v>프론트 질문지 → 통합 Codex C1/C2</x:v>
      </x:c>
      <x:c r="F13" s="28" t="str">
        <x:v>D01-FE-03</x:v>
      </x:c>
      <x:c r="G13" s="28" t="str">
        <x:v>Figma 임의필드 0·계약차이 0</x:v>
      </x:c>
      <x:c r="H13" s="28" t="str">
        <x:v>미착수</x:v>
      </x:c>
      <x:c r="I13" s="28"/>
      <x:c r="J13" s="28"/>
    </x:row>
    <x:row r="14" ht="78" customHeight="1">
      <x:c r="A14" s="29" t="str">
        <x:v>10</x:v>
      </x:c>
      <x:c r="B14" s="29" t="str">
        <x:v>통합 검수</x:v>
      </x:c>
      <x:c r="C14" s="29" t="str">
        <x:v>Figma 시각차이·실제 API·상태·접근성·E2E</x:v>
      </x:c>
      <x:c r="D14" s="29" t="str">
        <x:v>통합 확인일 4·8·12·16·20·21</x:v>
      </x:c>
      <x:c r="E14" s="29" t="str">
        <x:v>세 트랙</x:v>
      </x:c>
      <x:c r="F14" s="29" t="str">
        <x:v>통합 작업</x:v>
      </x:c>
      <x:c r="G14" s="29" t="str">
        <x:v>Critical UI 결함 0·금지 request 0</x:v>
      </x:c>
      <x:c r="H14" s="29" t="str">
        <x:v>미착수</x:v>
      </x:c>
      <x:c r="I14" s="29"/>
      <x:c r="J14" s="29"/>
    </x:row>
  </x:sheetData>
  <x:mergeCells>
    <x:mergeCell ref="A1:J1"/>
    <x:mergeCell ref="A2:J2"/>
  </x:mergeCells>
  <x:conditionalFormatting sqref="H5:H14">
    <x:cfRule type="containsText" dxfId="0" priority="1" operator="containsText" text="완료"/>
    <x:cfRule type="containsText" dxfId="1" priority="2" operator="containsText" text="진행 중"/>
    <x:cfRule type="containsText" dxfId="2" priority="3" operator="containsText" text="검토 대기"/>
    <x:cfRule type="containsText" dxfId="3" priority="4" operator="containsText" text="차단"/>
  </x:conditionalFormatting>
  <x:dataValidations count="1">
    <x:dataValidation type="list" sqref="H5:H14">
      <x:formula1>"미착수,진행 중,검토 대기,완료,차단"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676b09eb9947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1.110000610351562" hidden="0" customWidth="1"/>
    <x:col min="3" max="3" width="28.889999389648438" hidden="0" customWidth="1"/>
    <x:col min="4" max="4" width="18.889999389648438" hidden="0" customWidth="1"/>
    <x:col min="5" max="5" width="27.780000686645508" hidden="0" customWidth="1"/>
    <x:col min="6" max="6" width="28.889999389648438" hidden="0" customWidth="1"/>
    <x:col min="7" max="7" width="28.889999389648438" hidden="0" customWidth="1"/>
    <x:col min="8" max="8" width="10" hidden="0" customWidth="1"/>
    <x:col min="9" max="9" width="10" hidden="0" customWidth="1"/>
    <x:col min="10" max="10" width="26.670000076293945" hidden="0" customWidth="1"/>
    <x:col min="11" max="11" width="26.670000076293945" hidden="0" customWidth="1"/>
    <x:col min="12" max="12" width="11.109999656677246" hidden="0" customWidth="1"/>
    <x:col min="13" max="13" width="24.440000534057617" hidden="0" customWidth="1"/>
  </x:cols>
  <x:sheetData>
    <x:row r="1" ht="30" customHeight="1">
      <x:c r="A1" s="5" t="str">
        <x:v>AI 엔지니어링 비교실험 계획</x:v>
      </x:c>
      <x:c r="B1" s="5" t="str">
        <x:v>AI 엔지니어링 비교실험 계획</x:v>
      </x:c>
      <x:c r="C1" s="5" t="str">
        <x:v>AI 엔지니어링 비교실험 계획</x:v>
      </x:c>
      <x:c r="D1" s="5" t="str">
        <x:v>AI 엔지니어링 비교실험 계획</x:v>
      </x:c>
      <x:c r="E1" s="5" t="str">
        <x:v>AI 엔지니어링 비교실험 계획</x:v>
      </x:c>
      <x:c r="F1" s="5" t="str">
        <x:v>AI 엔지니어링 비교실험 계획</x:v>
      </x:c>
      <x:c r="G1" s="5" t="str">
        <x:v>AI 엔지니어링 비교실험 계획</x:v>
      </x:c>
      <x:c r="H1" s="5" t="str">
        <x:v>AI 엔지니어링 비교실험 계획</x:v>
      </x:c>
      <x:c r="I1" s="5" t="str">
        <x:v>AI 엔지니어링 비교실험 계획</x:v>
      </x:c>
      <x:c r="J1" s="5" t="str">
        <x:v>AI 엔지니어링 비교실험 계획</x:v>
      </x:c>
      <x:c r="K1" s="5" t="str">
        <x:v>AI 엔지니어링 비교실험 계획</x:v>
      </x:c>
      <x:c r="L1" s="5" t="str">
        <x:v>AI 엔지니어링 비교실험 계획</x:v>
      </x:c>
      <x:c r="M1" s="5" t="str">
        <x:v>AI 엔지니어링 비교실험 계획</x:v>
      </x:c>
    </x:row>
    <x:row r="2" ht="28" customHeight="1">
      <x:c r="A2" s="10" t="str">
        <x:v>기술 사용 자체가 완료가 아닙니다. 동일 시험세트에서 기준방법과 비교하고 수치·오류분석·비용을 근거로 채택 또는 기각합니다.</x:v>
      </x:c>
      <x:c r="B2" s="10" t="str">
        <x:v>기술 사용 자체가 완료가 아닙니다. 동일 시험세트에서 기준방법과 비교하고 수치·오류분석·비용을 근거로 채택 또는 기각합니다.</x:v>
      </x:c>
      <x:c r="C2" s="10" t="str">
        <x:v>기술 사용 자체가 완료가 아닙니다. 동일 시험세트에서 기준방법과 비교하고 수치·오류분석·비용을 근거로 채택 또는 기각합니다.</x:v>
      </x:c>
      <x:c r="D2" s="10" t="str">
        <x:v>기술 사용 자체가 완료가 아닙니다. 동일 시험세트에서 기준방법과 비교하고 수치·오류분석·비용을 근거로 채택 또는 기각합니다.</x:v>
      </x:c>
      <x:c r="E2" s="10" t="str">
        <x:v>기술 사용 자체가 완료가 아닙니다. 동일 시험세트에서 기준방법과 비교하고 수치·오류분석·비용을 근거로 채택 또는 기각합니다.</x:v>
      </x:c>
      <x:c r="F2" s="10" t="str">
        <x:v>기술 사용 자체가 완료가 아닙니다. 동일 시험세트에서 기준방법과 비교하고 수치·오류분석·비용을 근거로 채택 또는 기각합니다.</x:v>
      </x:c>
      <x:c r="G2" s="10" t="str">
        <x:v>기술 사용 자체가 완료가 아닙니다. 동일 시험세트에서 기준방법과 비교하고 수치·오류분석·비용을 근거로 채택 또는 기각합니다.</x:v>
      </x:c>
      <x:c r="H2" s="10" t="str">
        <x:v>기술 사용 자체가 완료가 아닙니다. 동일 시험세트에서 기준방법과 비교하고 수치·오류분석·비용을 근거로 채택 또는 기각합니다.</x:v>
      </x:c>
      <x:c r="I2" s="10" t="str">
        <x:v>기술 사용 자체가 완료가 아닙니다. 동일 시험세트에서 기준방법과 비교하고 수치·오류분석·비용을 근거로 채택 또는 기각합니다.</x:v>
      </x:c>
      <x:c r="J2" s="10" t="str">
        <x:v>기술 사용 자체가 완료가 아닙니다. 동일 시험세트에서 기준방법과 비교하고 수치·오류분석·비용을 근거로 채택 또는 기각합니다.</x:v>
      </x:c>
      <x:c r="K2" s="10" t="str">
        <x:v>기술 사용 자체가 완료가 아닙니다. 동일 시험세트에서 기준방법과 비교하고 수치·오류분석·비용을 근거로 채택 또는 기각합니다.</x:v>
      </x:c>
      <x:c r="L2" s="10" t="str">
        <x:v>기술 사용 자체가 완료가 아닙니다. 동일 시험세트에서 기준방법과 비교하고 수치·오류분석·비용을 근거로 채택 또는 기각합니다.</x:v>
      </x:c>
      <x:c r="M2" s="10" t="str">
        <x:v>기술 사용 자체가 완료가 아닙니다. 동일 시험세트에서 기준방법과 비교하고 수치·오류분석·비용을 근거로 채택 또는 기각합니다.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32" customHeight="1">
      <x:c r="A4" s="16" t="str">
        <x:v>실험 ID</x:v>
      </x:c>
      <x:c r="B4" s="16" t="str">
        <x:v>문제</x:v>
      </x:c>
      <x:c r="C4" s="16" t="str">
        <x:v>가설</x:v>
      </x:c>
      <x:c r="D4" s="16" t="str">
        <x:v>기준방법</x:v>
      </x:c>
      <x:c r="E4" s="16" t="str">
        <x:v>비교 후보</x:v>
      </x:c>
      <x:c r="F4" s="16" t="str">
        <x:v>평가지표</x:v>
      </x:c>
      <x:c r="G4" s="16" t="str">
        <x:v>채택 기준</x:v>
      </x:c>
      <x:c r="H4" s="16" t="str">
        <x:v>실행 일차</x:v>
      </x:c>
      <x:c r="I4" s="16" t="str">
        <x:v>상태</x:v>
      </x:c>
      <x:c r="J4" s="16" t="str">
        <x:v>실제 결과</x:v>
      </x:c>
      <x:c r="K4" s="16" t="str">
        <x:v>오류 분석</x:v>
      </x:c>
      <x:c r="L4" s="16" t="str">
        <x:v>결정</x:v>
      </x:c>
      <x:c r="M4" s="16" t="str">
        <x:v>증거 경로</x:v>
      </x:c>
    </x:row>
    <x:row r="5" ht="76" customHeight="1">
      <x:c r="A5" s="27" t="str">
        <x:v>PROMPT-01</x:v>
      </x:c>
      <x:c r="B5" s="27" t="str">
        <x:v>문의 Intent/Entity 구조화</x:v>
      </x:c>
      <x:c r="C5" s="27" t="str">
        <x:v>구조화·소수 예시가 JSON 안정성과 F1을 높인다</x:v>
      </x:c>
      <x:c r="D5" s="27" t="str">
        <x:v>Zero-shot</x:v>
      </x:c>
      <x:c r="E5" s="27" t="str">
        <x:v>Structured, Few-shot, Self-check 조건부</x:v>
      </x:c>
      <x:c r="F5" s="27" t="str">
        <x:v>Intent F1, Entity F1, JSON 유효율, 위험오류, token, p95</x:v>
      </x:c>
      <x:c r="G5" s="27" t="str">
        <x:v>위험오류 0을 우선하고 F1 개선 또는 비용 대비 이점</x:v>
      </x:c>
      <x:c r="H5" s="27" t="str">
        <x:v>3~4일차</x:v>
      </x:c>
      <x:c r="I5" s="27" t="str">
        <x:v>미착수</x:v>
      </x:c>
      <x:c r="J5" s="27"/>
      <x:c r="K5" s="27"/>
      <x:c r="L5" s="27"/>
      <x:c r="M5" s="27"/>
    </x:row>
    <x:row r="6" ht="76" customHeight="1">
      <x:c r="A6" s="28" t="str">
        <x:v>RAG-CHUNK-01</x:v>
      </x:c>
      <x:c r="B6" s="28" t="str">
        <x:v>상품·정책 문서 분할</x:v>
      </x:c>
      <x:c r="C6" s="28" t="str">
        <x:v>자료 구조에 맞춘 분할이 고정크기보다 검색 recall을 높인다</x:v>
      </x:c>
      <x:c r="D6" s="28" t="str">
        <x:v>Fixed 256/512/800</x:v>
      </x:c>
      <x:c r="E6" s="28" t="str">
        <x:v>Structure-aware, Semantic, overlap 변화</x:v>
      </x:c>
      <x:c r="F6" s="28" t="str">
        <x:v>Recall@K, MRR, nDCG, 중복률, index 크기</x:v>
      </x:c>
      <x:c r="G6" s="28" t="str">
        <x:v>Recall@10 개선·인용 경계 보존·비용 허용</x:v>
      </x:c>
      <x:c r="H6" s="28" t="str">
        <x:v>5~6일차</x:v>
      </x:c>
      <x:c r="I6" s="28" t="str">
        <x:v>미착수</x:v>
      </x:c>
      <x:c r="J6" s="28"/>
      <x:c r="K6" s="28"/>
      <x:c r="L6" s="28"/>
      <x:c r="M6" s="28"/>
    </x:row>
    <x:row r="7" ht="76" customHeight="1">
      <x:c r="A7" s="28" t="str">
        <x:v>RAG-01</x:v>
      </x:c>
      <x:c r="B7" s="28" t="str">
        <x:v>검색 방식 기준선</x:v>
      </x:c>
      <x:c r="C7" s="28" t="str">
        <x:v>정확 상품명은 BM25, 표현차이는 Vector가 유리하다</x:v>
      </x:c>
      <x:c r="D7" s="28" t="str">
        <x:v>BM25</x:v>
      </x:c>
      <x:c r="E7" s="28" t="str">
        <x:v>Vector</x:v>
      </x:c>
      <x:c r="F7" s="28" t="str">
        <x:v>Recall@5/10, Precision@K, MRR, nDCG@10, p95</x:v>
      </x:c>
      <x:c r="G7" s="28" t="str">
        <x:v>질문유형별 오류를 확인한 뒤 Hybrid 가설로 연결</x:v>
      </x:c>
      <x:c r="H7" s="28" t="str">
        <x:v>7~8일차</x:v>
      </x:c>
      <x:c r="I7" s="28" t="str">
        <x:v>미착수</x:v>
      </x:c>
      <x:c r="J7" s="28"/>
      <x:c r="K7" s="28"/>
      <x:c r="L7" s="28"/>
      <x:c r="M7" s="28"/>
    </x:row>
    <x:row r="8" ht="76" customHeight="1">
      <x:c r="A8" s="28" t="str">
        <x:v>RAG-02</x:v>
      </x:c>
      <x:c r="B8" s="28" t="str">
        <x:v>Hybrid 검색</x:v>
      </x:c>
      <x:c r="C8" s="28" t="str">
        <x:v>BM25+Vector가 두 기준선의 누락을 줄인다</x:v>
      </x:c>
      <x:c r="D8" s="28" t="str">
        <x:v>Best single retrieval</x:v>
      </x:c>
      <x:c r="E8" s="28" t="str">
        <x:v>RRF, weighted hybrid, pre/post filter</x:v>
      </x:c>
      <x:c r="F8" s="28" t="str">
        <x:v>Recall/MRR/nDCG, filter miss, p95</x:v>
      </x:c>
      <x:c r="G8" s="28" t="str">
        <x:v>품질 개선이 latency 예산 내이고 회귀가 없을 때</x:v>
      </x:c>
      <x:c r="H8" s="28" t="str">
        <x:v>9일차</x:v>
      </x:c>
      <x:c r="I8" s="28" t="str">
        <x:v>미착수</x:v>
      </x:c>
      <x:c r="J8" s="28"/>
      <x:c r="K8" s="28"/>
      <x:c r="L8" s="28"/>
      <x:c r="M8" s="28"/>
    </x:row>
    <x:row r="9" ht="76" customHeight="1">
      <x:c r="A9" s="28" t="str">
        <x:v>RAG-03</x:v>
      </x:c>
      <x:c r="B9" s="28" t="str">
        <x:v>Reranker·Top-K·질의변환</x:v>
      </x:c>
      <x:c r="C9" s="28" t="str">
        <x:v>관계·자연어 질문에서 reranker가 상위 정확도를 높인다</x:v>
      </x:c>
      <x:c r="D9" s="28" t="str">
        <x:v>Hybrid</x:v>
      </x:c>
      <x:c r="E9" s="28" t="str">
        <x:v>Rewrite, Multi-query, Hybrid+Reranker, K 3/5/10/20</x:v>
      </x:c>
      <x:c r="F9" s="28" t="str">
        <x:v>nDCG@10, MRR, citation, token, p95</x:v>
      </x:c>
      <x:c r="G9" s="28" t="str">
        <x:v>의미 있는 품질 개선이 있을 질문에만 조건부 사용</x:v>
      </x:c>
      <x:c r="H9" s="28" t="str">
        <x:v>10~12일차</x:v>
      </x:c>
      <x:c r="I9" s="28" t="str">
        <x:v>미착수</x:v>
      </x:c>
      <x:c r="J9" s="28"/>
      <x:c r="K9" s="28"/>
      <x:c r="L9" s="28"/>
      <x:c r="M9" s="28"/>
    </x:row>
    <x:row r="10" ht="76" customHeight="1">
      <x:c r="A10" s="28" t="str">
        <x:v>FT-01</x:v>
      </x:c>
      <x:c r="B10" s="28" t="str">
        <x:v>문의 분류 소형모델</x:v>
      </x:c>
      <x:c r="C10" s="28" t="str">
        <x:v>QLoRA가 Base보다 구조화 정확도를 높이고 API 비용을 줄인다</x:v>
      </x:c>
      <x:c r="D10" s="28" t="str">
        <x:v>Base sLLM</x:v>
      </x:c>
      <x:c r="E10" s="28" t="str">
        <x:v>QLoRA checkpoints, Large API LLM</x:v>
      </x:c>
      <x:c r="F10" s="28" t="str">
        <x:v>Intent/Entity F1, JSON, field accuracy, latency, cost</x:v>
      </x:c>
      <x:c r="G10" s="28" t="str">
        <x:v>Base 대비 개선·과적합 없음·API 대비 품질 허용범위</x:v>
      </x:c>
      <x:c r="H10" s="28" t="str">
        <x:v>11~13일차</x:v>
      </x:c>
      <x:c r="I10" s="28" t="str">
        <x:v>미착수</x:v>
      </x:c>
      <x:c r="J10" s="28"/>
      <x:c r="K10" s="28"/>
      <x:c r="L10" s="28"/>
      <x:c r="M10" s="28"/>
    </x:row>
    <x:row r="11" ht="76" customHeight="1">
      <x:c r="A11" s="28" t="str">
        <x:v>GRAPH-01</x:v>
      </x:c>
      <x:c r="B11" s="28" t="str">
        <x:v>본판·확장·구성품 다중관계 질문</x:v>
      </x:c>
      <x:c r="C11" s="28" t="str">
        <x:v>Graph traversal이 다중 hop 질문에서 SQL/RAG보다 정확하다</x:v>
      </x:c>
      <x:c r="D11" s="28" t="str">
        <x:v>SQL join, Hybrid RAG</x:v>
      </x:c>
      <x:c r="E11" s="28" t="str">
        <x:v>Graph, Graph+Vector</x:v>
      </x:c>
      <x:c r="F11" s="28" t="str">
        <x:v>path/answer accuracy, MRR, p95, 운영복잡도</x:v>
      </x:c>
      <x:c r="G11" s="28" t="str">
        <x:v>다중관계에서만 이점이 있을 때 부분 채택</x:v>
      </x:c>
      <x:c r="H11" s="28" t="str">
        <x:v>13~16일차</x:v>
      </x:c>
      <x:c r="I11" s="28" t="str">
        <x:v>미착수</x:v>
      </x:c>
      <x:c r="J11" s="28"/>
      <x:c r="K11" s="28"/>
      <x:c r="L11" s="28"/>
      <x:c r="M11" s="28"/>
    </x:row>
    <x:row r="12" ht="76" customHeight="1">
      <x:c r="A12" s="28" t="str">
        <x:v>MEM-01</x:v>
      </x:c>
      <x:c r="B12" s="28" t="str">
        <x:v>20-turn 문의·운영 대화</x:v>
      </x:c>
      <x:c r="C12" s="28" t="str">
        <x:v>선택적 메모리가 품질을 유지하며 token을 줄인다</x:v>
      </x:c>
      <x:c r="D12" s="28" t="str">
        <x:v>전체 대화 전달</x:v>
      </x:c>
      <x:c r="E12" s="28" t="str">
        <x:v>요약+관련 history retrieval</x:v>
      </x:c>
      <x:c r="F12" s="28" t="str">
        <x:v>정답, entity 유지, token, cost, p95</x:v>
      </x:c>
      <x:c r="G12" s="28" t="str">
        <x:v>품질 허용범위 내 token·비용 감소</x:v>
      </x:c>
      <x:c r="H12" s="28" t="str">
        <x:v>15~16일차</x:v>
      </x:c>
      <x:c r="I12" s="28" t="str">
        <x:v>미착수</x:v>
      </x:c>
      <x:c r="J12" s="28"/>
      <x:c r="K12" s="28"/>
      <x:c r="L12" s="28"/>
      <x:c r="M12" s="28"/>
    </x:row>
    <x:row r="13" ht="76" customHeight="1">
      <x:c r="A13" s="28" t="str">
        <x:v>PRIO-01</x:v>
      </x:c>
      <x:c r="B13" s="28" t="str">
        <x:v>오늘 할 일 우선순위</x:v>
      </x:c>
      <x:c r="C13" s="28" t="str">
        <x:v>학습 ranking이 규칙보다 나을 수 있으나 설명성과 안전이 우선이다</x:v>
      </x:c>
      <x:c r="D13" s="28" t="str">
        <x:v>Rule priority</x:v>
      </x:c>
      <x:c r="E13" s="28" t="str">
        <x:v>경량 ranking</x:v>
      </x:c>
      <x:c r="F13" s="28" t="str">
        <x:v>nDCG, order agreement, calibration, 설명성</x:v>
      </x:c>
      <x:c r="G13" s="28" t="str">
        <x:v>충분한 label이 없으면 Rule 유지·AI 보조만</x:v>
      </x:c>
      <x:c r="H13" s="28" t="str">
        <x:v>17일차</x:v>
      </x:c>
      <x:c r="I13" s="28" t="str">
        <x:v>미착수</x:v>
      </x:c>
      <x:c r="J13" s="28"/>
      <x:c r="K13" s="28"/>
      <x:c r="L13" s="28"/>
      <x:c r="M13" s="28"/>
    </x:row>
    <x:row r="14" ht="76" customHeight="1">
      <x:c r="A14" s="28" t="str">
        <x:v>AGENT-01</x:v>
      </x:c>
      <x:c r="B14" s="28" t="str">
        <x:v>복합 운영 에이전트</x:v>
      </x:c>
      <x:c r="C14" s="28" t="str">
        <x:v>명시적 상태·조건분기·checkpoint가 실패복구와 호출수를 개선한다</x:v>
      </x:c>
      <x:c r="D14" s="28" t="str">
        <x:v>단일 LLM/무상태</x:v>
      </x:c>
      <x:c r="E14" s="28" t="str">
        <x:v>LangGraph state, retry, HITL, resume</x:v>
      </x:c>
      <x:c r="F14" s="28" t="str">
        <x:v>완료/복구율, tool count, duplicate effect, latency</x:v>
      </x:c>
      <x:c r="G14" s="28" t="str">
        <x:v>금지행동 0·효과 1회·호출 상한 충족</x:v>
      </x:c>
      <x:c r="H14" s="28" t="str">
        <x:v>16~18일차</x:v>
      </x:c>
      <x:c r="I14" s="28" t="str">
        <x:v>미착수</x:v>
      </x:c>
      <x:c r="J14" s="28"/>
      <x:c r="K14" s="28"/>
      <x:c r="L14" s="28"/>
      <x:c r="M14" s="28"/>
    </x:row>
    <x:row r="15" ht="76" customHeight="1">
      <x:c r="A15" s="29" t="str">
        <x:v>ROUTER-01</x:v>
      </x:c>
      <x:c r="B15" s="29" t="str">
        <x:v>모델 비용 최적화</x:v>
      </x:c>
      <x:c r="C15" s="29" t="str">
        <x:v>최소모델 라우팅이 품질을 유지하며 비용을 줄인다</x:v>
      </x:c>
      <x:c r="D15" s="29" t="str">
        <x:v>Large LLM only</x:v>
      </x:c>
      <x:c r="E15" s="29" t="str">
        <x:v>Rule→sLLM→Small→Large Router+Cache</x:v>
      </x:c>
      <x:c r="F15" s="29" t="str">
        <x:v>cost, avg token, p95, cache hit, large call rate, 품질</x:v>
      </x:c>
      <x:c r="G15" s="29" t="str">
        <x:v>품질 허용범위 내 비용·large call rate 감소</x:v>
      </x:c>
      <x:c r="H15" s="29" t="str">
        <x:v>18~20일차</x:v>
      </x:c>
      <x:c r="I15" s="29" t="str">
        <x:v>미착수</x:v>
      </x:c>
      <x:c r="J15" s="29"/>
      <x:c r="K15" s="29"/>
      <x:c r="L15" s="29"/>
      <x:c r="M15" s="29"/>
    </x:row>
  </x:sheetData>
  <x:mergeCells>
    <x:mergeCell ref="A1:M1"/>
    <x:mergeCell ref="A2:M2"/>
  </x:mergeCells>
  <x:conditionalFormatting sqref="I5:I15">
    <x:cfRule type="containsText" dxfId="24" priority="1" operator="containsText" text="완료"/>
    <x:cfRule type="containsText" dxfId="25" priority="2" operator="containsText" text="진행 중"/>
    <x:cfRule type="containsText" dxfId="26" priority="3" operator="containsText" text="검토 대기"/>
    <x:cfRule type="containsText" dxfId="27" priority="4" operator="containsText" text="차단"/>
  </x:conditionalFormatting>
  <x:dataValidations count="2">
    <x:dataValidation type="list" sqref="I5:I15">
      <x:formula1>"미착수,진행 중,검토 대기,완료,차단"</x:formula1>
    </x:dataValidation>
    <x:dataValidation type="list" sqref="L5:L15">
      <x:formula1>",채택,조건부 채택,기각,추가 실험"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af7317245a42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6.670000076293945" hidden="0" customWidth="1"/>
    <x:col min="3" max="3" width="28.889999389648438" hidden="0" customWidth="1"/>
    <x:col min="4" max="4" width="30" hidden="0" customWidth="1"/>
    <x:col min="5" max="5" width="24.440000534057617" hidden="0" customWidth="1"/>
    <x:col min="6" max="6" width="24.440000534057617" hidden="0" customWidth="1"/>
    <x:col min="7" max="7" width="21.110000610351562" hidden="0" customWidth="1"/>
    <x:col min="8" max="8" width="11.109999656677246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26.670000076293945" hidden="0" customWidth="1"/>
  </x:cols>
  <x:sheetData>
    <x:row r="1" ht="30" customHeight="1">
      <x:c r="A1" s="5" t="str">
        <x:v>통합·최종 완료 증거 기록</x:v>
      </x:c>
      <x:c r="B1" s="5" t="str">
        <x:v>통합·최종 완료 증거 기록</x:v>
      </x:c>
      <x:c r="C1" s="5" t="str">
        <x:v>통합·최종 완료 증거 기록</x:v>
      </x:c>
      <x:c r="D1" s="5" t="str">
        <x:v>통합·최종 완료 증거 기록</x:v>
      </x:c>
      <x:c r="E1" s="5" t="str">
        <x:v>통합·최종 완료 증거 기록</x:v>
      </x:c>
      <x:c r="F1" s="5" t="str">
        <x:v>통합·최종 완료 증거 기록</x:v>
      </x:c>
      <x:c r="G1" s="5" t="str">
        <x:v>통합·최종 완료 증거 기록</x:v>
      </x:c>
      <x:c r="H1" s="5" t="str">
        <x:v>통합·최종 완료 증거 기록</x:v>
      </x:c>
      <x:c r="I1" s="5" t="str">
        <x:v>통합·최종 완료 증거 기록</x:v>
      </x:c>
      <x:c r="J1" s="5" t="str">
        <x:v>통합·최종 완료 증거 기록</x:v>
      </x:c>
      <x:c r="K1" s="5" t="str">
        <x:v>통합·최종 완료 증거 기록</x:v>
      </x:c>
      <x:c r="L1" s="5" t="str">
        <x:v>통합·최종 완료 증거 기록</x:v>
      </x:c>
    </x:row>
    <x:row r="2" ht="28" customHeight="1">
      <x:c r="A2" s="10" t="str">
        <x:v>통합 확인일마다 실제 실행 명령과 결과 경로를 기록합니다. ‘성공’이라는 문장만으로는 완료 처리하지 않습니다.</x:v>
      </x:c>
      <x:c r="B2" s="10" t="str">
        <x:v>통합 확인일마다 실제 실행 명령과 결과 경로를 기록합니다. ‘성공’이라는 문장만으로는 완료 처리하지 않습니다.</x:v>
      </x:c>
      <x:c r="C2" s="10" t="str">
        <x:v>통합 확인일마다 실제 실행 명령과 결과 경로를 기록합니다. ‘성공’이라는 문장만으로는 완료 처리하지 않습니다.</x:v>
      </x:c>
      <x:c r="D2" s="10" t="str">
        <x:v>통합 확인일마다 실제 실행 명령과 결과 경로를 기록합니다. ‘성공’이라는 문장만으로는 완료 처리하지 않습니다.</x:v>
      </x:c>
      <x:c r="E2" s="10" t="str">
        <x:v>통합 확인일마다 실제 실행 명령과 결과 경로를 기록합니다. ‘성공’이라는 문장만으로는 완료 처리하지 않습니다.</x:v>
      </x:c>
      <x:c r="F2" s="10" t="str">
        <x:v>통합 확인일마다 실제 실행 명령과 결과 경로를 기록합니다. ‘성공’이라는 문장만으로는 완료 처리하지 않습니다.</x:v>
      </x:c>
      <x:c r="G2" s="10" t="str">
        <x:v>통합 확인일마다 실제 실행 명령과 결과 경로를 기록합니다. ‘성공’이라는 문장만으로는 완료 처리하지 않습니다.</x:v>
      </x:c>
      <x:c r="H2" s="10" t="str">
        <x:v>통합 확인일마다 실제 실행 명령과 결과 경로를 기록합니다. ‘성공’이라는 문장만으로는 완료 처리하지 않습니다.</x:v>
      </x:c>
      <x:c r="I2" s="10" t="str">
        <x:v>통합 확인일마다 실제 실행 명령과 결과 경로를 기록합니다. ‘성공’이라는 문장만으로는 완료 처리하지 않습니다.</x:v>
      </x:c>
      <x:c r="J2" s="10" t="str">
        <x:v>통합 확인일마다 실제 실행 명령과 결과 경로를 기록합니다. ‘성공’이라는 문장만으로는 완료 처리하지 않습니다.</x:v>
      </x:c>
      <x:c r="K2" s="10" t="str">
        <x:v>통합 확인일마다 실제 실행 명령과 결과 경로를 기록합니다. ‘성공’이라는 문장만으로는 완료 처리하지 않습니다.</x:v>
      </x:c>
      <x:c r="L2" s="10" t="str">
        <x:v>통합 확인일마다 실제 실행 명령과 결과 경로를 기록합니다. ‘성공’이라는 문장만으로는 완료 처리하지 않습니다.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2" customHeight="1">
      <x:c r="A4" s="16" t="str">
        <x:v>일차</x:v>
      </x:c>
      <x:c r="B4" s="16" t="str">
        <x:v>확인명</x:v>
      </x:c>
      <x:c r="C4" s="16" t="str">
        <x:v>시나리오</x:v>
      </x:c>
      <x:c r="D4" s="16" t="str">
        <x:v>실행 명령</x:v>
      </x:c>
      <x:c r="E4" s="16" t="str">
        <x:v>실행 결과</x:v>
      </x:c>
      <x:c r="F4" s="16" t="str">
        <x:v>증거 경로</x:v>
      </x:c>
      <x:c r="G4" s="16" t="str">
        <x:v>차단 결함</x:v>
      </x:c>
      <x:c r="H4" s="16" t="str">
        <x:v>외부 쓰기 호출수</x:v>
      </x:c>
      <x:c r="I4" s="16" t="str">
        <x:v>PII·Secret 발견수</x:v>
      </x:c>
      <x:c r="J4" s="16" t="str">
        <x:v>판정</x:v>
      </x:c>
      <x:c r="K4" s="16" t="str">
        <x:v>책임자</x:v>
      </x:c>
      <x:c r="L4" s="16" t="str">
        <x:v>다음 조치</x:v>
      </x:c>
    </x:row>
    <x:row r="5" ht="76" customHeight="1">
      <x:c r="A5" s="27" t="str">
        <x:v>4일차</x:v>
      </x:c>
      <x:c r="B5" s="27" t="str">
        <x:v>첫 Mock 통합</x:v>
      </x:c>
      <x:c r="C5" s="27" t="str">
        <x:v>Demo event→API→AI Mock→화면</x:v>
      </x:c>
      <x:c r="D5" s="27"/>
      <x:c r="E5" s="27"/>
      <x:c r="F5" s="27" t="str">
        <x:v>artifacts/integration/day04/</x:v>
      </x:c>
      <x:c r="G5" s="27"/>
      <x:c r="H5" s="27"/>
      <x:c r="I5" s="27"/>
      <x:c r="J5" s="27"/>
      <x:c r="K5" s="27"/>
      <x:c r="L5" s="27"/>
    </x:row>
    <x:row r="6" ht="76" customHeight="1">
      <x:c r="A6" s="28" t="str">
        <x:v>8일차</x:v>
      </x:c>
      <x:c r="B6" s="28" t="str">
        <x:v>읽기·정규화·재고 통합</x:v>
      </x:c>
      <x:c r="C6" s="28" t="str">
        <x:v>offline sale 중복 재생</x:v>
      </x:c>
      <x:c r="D6" s="28"/>
      <x:c r="E6" s="28"/>
      <x:c r="F6" s="28" t="str">
        <x:v>artifacts/integration/day08/</x:v>
      </x:c>
      <x:c r="G6" s="28"/>
      <x:c r="H6" s="28"/>
      <x:c r="I6" s="28"/>
      <x:c r="J6" s="28"/>
      <x:c r="K6" s="28"/>
      <x:c r="L6" s="28"/>
    </x:row>
    <x:row r="7" ht="76" customHeight="1">
      <x:c r="A7" s="28" t="str">
        <x:v>12일차</x:v>
      </x:c>
      <x:c r="B7" s="28" t="str">
        <x:v>P0 업무·RAG 통합</x:v>
      </x:c>
      <x:c r="C7" s="28" t="str">
        <x:v>예약/지연/문의 3시나리오</x:v>
      </x:c>
      <x:c r="D7" s="28"/>
      <x:c r="E7" s="28"/>
      <x:c r="F7" s="28" t="str">
        <x:v>artifacts/integration/day12/</x:v>
      </x:c>
      <x:c r="G7" s="28"/>
      <x:c r="H7" s="28"/>
      <x:c r="I7" s="28"/>
      <x:c r="J7" s="28"/>
      <x:c r="K7" s="28"/>
      <x:c r="L7" s="28"/>
    </x:row>
    <x:row r="8" ht="76" customHeight="1">
      <x:c r="A8" s="28" t="str">
        <x:v>16일차</x:v>
      </x:c>
      <x:c r="B8" s="28" t="str">
        <x:v>Graph·Memory·Agent 통합</x:v>
      </x:c>
      <x:c r="C8" s="28" t="str">
        <x:v>관계문의·3-turn·timeout resume</x:v>
      </x:c>
      <x:c r="D8" s="28"/>
      <x:c r="E8" s="28"/>
      <x:c r="F8" s="28" t="str">
        <x:v>artifacts/integration/day16/</x:v>
      </x:c>
      <x:c r="G8" s="28"/>
      <x:c r="H8" s="28"/>
      <x:c r="I8" s="28"/>
      <x:c r="J8" s="28"/>
      <x:c r="K8" s="28"/>
      <x:c r="L8" s="28"/>
    </x:row>
    <x:row r="9" ht="76" customHeight="1">
      <x:c r="A9" s="28" t="str">
        <x:v>20일차</x:v>
      </x:c>
      <x:c r="B9" s="28" t="str">
        <x:v>전체 Demo 후보</x:v>
      </x:c>
      <x:c r="C9" s="28" t="str">
        <x:v>clean Demo Tenant 전체 회귀</x:v>
      </x:c>
      <x:c r="D9" s="28"/>
      <x:c r="E9" s="28"/>
      <x:c r="F9" s="28" t="str">
        <x:v>artifacts/integration/day20/</x:v>
      </x:c>
      <x:c r="G9" s="28"/>
      <x:c r="H9" s="28"/>
      <x:c r="I9" s="28"/>
      <x:c r="J9" s="28"/>
      <x:c r="K9" s="28"/>
      <x:c r="L9" s="28"/>
    </x:row>
    <x:row r="10" ht="76" customHeight="1">
      <x:c r="A10" s="29" t="str">
        <x:v>21일차</x:v>
      </x:c>
      <x:c r="B10" s="29" t="str">
        <x:v>최종 공개 확인</x:v>
      </x:c>
      <x:c r="C10" s="29" t="str">
        <x:v>clean install→seed→demo→report</x:v>
      </x:c>
      <x:c r="D10" s="29"/>
      <x:c r="E10" s="29"/>
      <x:c r="F10" s="29" t="str">
        <x:v>artifacts/release/</x:v>
      </x:c>
      <x:c r="G10" s="29"/>
      <x:c r="H10" s="29"/>
      <x:c r="I10" s="29"/>
      <x:c r="J10" s="29"/>
      <x:c r="K10" s="29"/>
      <x:c r="L10" s="29"/>
    </x:row>
  </x:sheetData>
  <x:mergeCells>
    <x:mergeCell ref="A1:L1"/>
    <x:mergeCell ref="A2:L2"/>
  </x:mergeCells>
  <x:dataValidations count="1">
    <x:dataValidation type="list" sqref="J5:J10">
      <x:formula1>"미확인,통과,조건부 통과,실패·보류"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037df1966c48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34.439998626708984" hidden="0" customWidth="1"/>
    <x:col min="3" max="3" width="20" hidden="0" customWidth="1"/>
    <x:col min="4" max="4" width="21.110000610351562" hidden="0" customWidth="1"/>
    <x:col min="5" max="5" width="33.33000183105469" hidden="0" customWidth="1"/>
    <x:col min="6" max="6" width="13.329999923706055" hidden="0" customWidth="1"/>
  </x:cols>
  <x:sheetData>
    <x:row r="1" ht="30" customHeight="1">
      <x:c r="A1" s="5" t="str">
        <x:v>11개 프로젝트 산출물 · 읽는 순서와 역할</x:v>
      </x:c>
      <x:c r="B1" s="5" t="str">
        <x:v>11개 프로젝트 산출물 · 읽는 순서와 역할</x:v>
      </x:c>
      <x:c r="C1" s="5" t="str">
        <x:v>11개 프로젝트 산출물 · 읽는 순서와 역할</x:v>
      </x:c>
      <x:c r="D1" s="5" t="str">
        <x:v>11개 프로젝트 산출물 · 읽는 순서와 역할</x:v>
      </x:c>
      <x:c r="E1" s="5" t="str">
        <x:v>11개 프로젝트 산출물 · 읽는 순서와 역할</x:v>
      </x:c>
      <x:c r="F1" s="5" t="str">
        <x:v>11개 프로젝트 산출물 · 읽는 순서와 역할</x:v>
      </x:c>
    </x:row>
    <x:row r="2" ht="28" customHeight="1">
      <x:c r="A2" s="10" t="str">
        <x:v>문서를 처음부터 전부 읽지 말고, 일정표의 작업 ID가 가리키는 요구사항·설계·테스트 부분을 골라 읽습니다.</x:v>
      </x:c>
      <x:c r="B2" s="10" t="str">
        <x:v>문서를 처음부터 전부 읽지 말고, 일정표의 작업 ID가 가리키는 요구사항·설계·테스트 부분을 골라 읽습니다.</x:v>
      </x:c>
      <x:c r="C2" s="10" t="str">
        <x:v>문서를 처음부터 전부 읽지 말고, 일정표의 작업 ID가 가리키는 요구사항·설계·테스트 부분을 골라 읽습니다.</x:v>
      </x:c>
      <x:c r="D2" s="10" t="str">
        <x:v>문서를 처음부터 전부 읽지 말고, 일정표의 작업 ID가 가리키는 요구사항·설계·테스트 부분을 골라 읽습니다.</x:v>
      </x:c>
      <x:c r="E2" s="10" t="str">
        <x:v>문서를 처음부터 전부 읽지 말고, 일정표의 작업 ID가 가리키는 요구사항·설계·테스트 부분을 골라 읽습니다.</x:v>
      </x:c>
      <x:c r="F2" s="10" t="str">
        <x:v>문서를 처음부터 전부 읽지 말고, 일정표의 작업 ID가 가리키는 요구사항·설계·테스트 부분을 골라 읽습니다.</x:v>
      </x:c>
    </x:row>
    <x:row r="3">
      <x:c r="A3"/>
      <x:c r="B3"/>
      <x:c r="C3"/>
      <x:c r="D3"/>
      <x:c r="E3"/>
      <x:c r="F3"/>
    </x:row>
    <x:row r="4" ht="32" customHeight="1">
      <x:c r="A4" s="16" t="str">
        <x:v>번호</x:v>
      </x:c>
      <x:c r="B4" s="16" t="str">
        <x:v>파일명</x:v>
      </x:c>
      <x:c r="C4" s="16" t="str">
        <x:v>쉽게 말하면</x:v>
      </x:c>
      <x:c r="D4" s="16" t="str">
        <x:v>언제 읽나</x:v>
      </x:c>
      <x:c r="E4" s="16" t="str">
        <x:v>여기서 결정하는 것</x:v>
      </x:c>
      <x:c r="F4" s="16" t="str">
        <x:v>주 사용 트랙</x:v>
      </x:c>
    </x:row>
    <x:row r="5" ht="55" customHeight="1">
      <x:c r="A5" s="27" t="str">
        <x:v>00</x:v>
      </x:c>
      <x:c r="B5" s="27" t="str">
        <x:v>00_프로젝트_문서_사용안내.md</x:v>
      </x:c>
      <x:c r="C5" s="27" t="str">
        <x:v>전체 사용 설명</x:v>
      </x:c>
      <x:c r="D5" s="27" t="str">
        <x:v>처음·헷갈릴 때</x:v>
      </x:c>
      <x:c r="E5" s="27" t="str">
        <x:v>읽는 순서·매일 사용법·용어</x:v>
      </x:c>
      <x:c r="F5" s="27" t="str">
        <x:v>전체</x:v>
      </x:c>
    </x:row>
    <x:row r="6" ht="55" customHeight="1">
      <x:c r="A6" s="28" t="str">
        <x:v>01</x:v>
      </x:c>
      <x:c r="B6" s="28" t="str">
        <x:v>01_프로젝트_종합기획서.md</x:v>
      </x:c>
      <x:c r="C6" s="28" t="str">
        <x:v>프로젝트 기획</x:v>
      </x:c>
      <x:c r="D6" s="28" t="str">
        <x:v>착수·범위 논쟁</x:v>
      </x:c>
      <x:c r="E6" s="28" t="str">
        <x:v>왜 만들고 어디까지 만드는지</x:v>
      </x:c>
      <x:c r="F6" s="28" t="str">
        <x:v>전체</x:v>
      </x:c>
    </x:row>
    <x:row r="7" ht="55" customHeight="1">
      <x:c r="A7" s="28" t="str">
        <x:v>02</x:v>
      </x:c>
      <x:c r="B7" s="28" t="str">
        <x:v>02_요구사항_정의서.md</x:v>
      </x:c>
      <x:c r="C7" s="28" t="str">
        <x:v>기능 합격 조건</x:v>
      </x:c>
      <x:c r="D7" s="28" t="str">
        <x:v>구현 전·검수 전</x:v>
      </x:c>
      <x:c r="E7" s="28" t="str">
        <x:v>요구사항 ID·입출력·완료조건</x:v>
      </x:c>
      <x:c r="F7" s="28" t="str">
        <x:v>전체</x:v>
      </x:c>
    </x:row>
    <x:row r="8" ht="55" customHeight="1">
      <x:c r="A8" s="28" t="str">
        <x:v>03</x:v>
      </x:c>
      <x:c r="B8" s="28" t="str">
        <x:v>03_시스템_아키텍처_설계서.md</x:v>
      </x:c>
      <x:c r="C8" s="28" t="str">
        <x:v>시스템 부품과 흐름</x:v>
      </x:c>
      <x:c r="D8" s="28" t="str">
        <x:v>서비스 생성·통합 전</x:v>
      </x:c>
      <x:c r="E8" s="28" t="str">
        <x:v>컴포넌트 경계·배포·데이터 흐름</x:v>
      </x:c>
      <x:c r="F8" s="28" t="str">
        <x:v>AI·백엔드</x:v>
      </x:c>
    </x:row>
    <x:row r="9" ht="55" customHeight="1">
      <x:c r="A9" s="28" t="str">
        <x:v>04</x:v>
      </x:c>
      <x:c r="B9" s="28" t="str">
        <x:v>04_AI_ML_기술_및_실험_설계서.md</x:v>
      </x:c>
      <x:c r="C9" s="28" t="str">
        <x:v>AI 실험 설계</x:v>
      </x:c>
      <x:c r="D9" s="28" t="str">
        <x:v>AI 구현·평가 전</x:v>
      </x:c>
      <x:c r="E9" s="28" t="str">
        <x:v>가설·기준방법·지표·채택/기각</x:v>
      </x:c>
      <x:c r="F9" s="28" t="str">
        <x:v>AI·AI백엔드</x:v>
      </x:c>
    </x:row>
    <x:row r="10" ht="55" customHeight="1">
      <x:c r="A10" s="28" t="str">
        <x:v>05</x:v>
      </x:c>
      <x:c r="B10" s="28" t="str">
        <x:v>05_데이터_API_명세서.md</x:v>
      </x:c>
      <x:c r="C10" s="28" t="str">
        <x:v>세 트랙 공동 계약</x:v>
      </x:c>
      <x:c r="D10" s="28" t="str">
        <x:v>코딩·Mock 전</x:v>
      </x:c>
      <x:c r="E10" s="28" t="str">
        <x:v>필드·API·이벤트·상태</x:v>
      </x:c>
      <x:c r="F10" s="28" t="str">
        <x:v>전체</x:v>
      </x:c>
    </x:row>
    <x:row r="11" ht="55" customHeight="1">
      <x:c r="A11" s="28" t="str">
        <x:v>06</x:v>
      </x:c>
      <x:c r="B11" s="28" t="str">
        <x:v>06_운영안전_명세서.md</x:v>
      </x:c>
      <x:c r="C11" s="28" t="str">
        <x:v>사업피해 방지 규칙</x:v>
      </x:c>
      <x:c r="D11" s="28" t="str">
        <x:v>실제 데이터 접근·통합 전</x:v>
      </x:c>
      <x:c r="E11" s="28" t="str">
        <x:v>읽기전용·PII·차단·감사</x:v>
      </x:c>
      <x:c r="F11" s="28" t="str">
        <x:v>전체</x:v>
      </x:c>
    </x:row>
    <x:row r="12" ht="55" customHeight="1">
      <x:c r="A12" s="28" t="str">
        <x:v>07</x:v>
      </x:c>
      <x:c r="B12" s="28" t="str">
        <x:v>07_화면_UI_UX_설계서.md</x:v>
      </x:c>
      <x:c r="C12" s="28" t="str">
        <x:v>화면과 사용자 흐름</x:v>
      </x:c>
      <x:c r="D12" s="28" t="str">
        <x:v>화면 구현 전</x:v>
      </x:c>
      <x:c r="E12" s="28" t="str">
        <x:v>화면·오류·근거·승인 표시</x:v>
      </x:c>
      <x:c r="F12" s="28" t="str">
        <x:v>프론트엔드</x:v>
      </x:c>
    </x:row>
    <x:row r="13" ht="55" customHeight="1">
      <x:c r="A13" s="28" t="str">
        <x:v>08</x:v>
      </x:c>
      <x:c r="B13" s="28" t="str">
        <x:v>08_21일_상세개발일정.xlsx</x:v>
      </x:c>
      <x:c r="C13" s="28" t="str">
        <x:v>일일 실행표</x:v>
      </x:c>
      <x:c r="D13" s="28" t="str">
        <x:v>매일 시작·종료</x:v>
      </x:c>
      <x:c r="E13" s="28" t="str">
        <x:v>작업 ID·순서·검증·증거</x:v>
      </x:c>
      <x:c r="F13" s="28" t="str">
        <x:v>전체</x:v>
      </x:c>
    </x:row>
    <x:row r="14" ht="55" customHeight="1">
      <x:c r="A14" s="28" t="str">
        <x:v>09</x:v>
      </x:c>
      <x:c r="B14" s="28" t="str">
        <x:v>09_테스트_평가계획서.md</x:v>
      </x:c>
      <x:c r="C14" s="28" t="str">
        <x:v>시험 방법과 합격선</x:v>
      </x:c>
      <x:c r="D14" s="28" t="str">
        <x:v>테스트·통합·완료판정</x:v>
      </x:c>
      <x:c r="E14" s="28" t="str">
        <x:v>기능시험·AI지표·안전시험</x:v>
      </x:c>
      <x:c r="F14" s="28" t="str">
        <x:v>전체</x:v>
      </x:c>
    </x:row>
    <x:row r="15" ht="55" customHeight="1">
      <x:c r="A15" s="29" t="str">
        <x:v>10</x:v>
      </x:c>
      <x:c r="B15" s="29" t="str">
        <x:v>10_포트폴리오_배포가이드.md</x:v>
      </x:c>
      <x:c r="C15" s="29" t="str">
        <x:v>공개 데모·배포</x:v>
      </x:c>
      <x:c r="D15" s="29" t="str">
        <x:v>17일차 이후</x:v>
      </x:c>
      <x:c r="E15" s="29" t="str">
        <x:v>합성데이터·환경분리·시연</x:v>
      </x:c>
      <x:c r="F15" s="29" t="str">
        <x:v>전체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707d814be0b4e6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40" hidden="0" customWidth="1"/>
    <x:col min="4" max="4" width="31.110000610351562" hidden="0" customWidth="1"/>
    <x:col min="5" max="5" width="16.670000076293945" hidden="0" customWidth="1"/>
  </x:cols>
  <x:sheetData>
    <x:row r="1" ht="30" customHeight="1">
      <x:c r="A1" s="5" t="str">
        <x:v>일정표와 AI 문서 용어 설명</x:v>
      </x:c>
      <x:c r="B1" s="5" t="str">
        <x:v>일정표와 AI 문서 용어 설명</x:v>
      </x:c>
      <x:c r="C1" s="5" t="str">
        <x:v>일정표와 AI 문서 용어 설명</x:v>
      </x:c>
      <x:c r="D1" s="5" t="str">
        <x:v>일정표와 AI 문서 용어 설명</x:v>
      </x:c>
      <x:c r="E1" s="5" t="str">
        <x:v>일정표와 AI 문서 용어 설명</x:v>
      </x:c>
    </x:row>
    <x:row r="2" ht="28" customHeight="1">
      <x:c r="A2" s="10" t="str">
        <x:v>기술 용어는 가능한 한 한국어로 풀어 썼고, 코드·논문 검색에 필요한 원어만 함께 적었습니다.</x:v>
      </x:c>
      <x:c r="B2" s="10" t="str">
        <x:v>기술 용어는 가능한 한 한국어로 풀어 썼고, 코드·논문 검색에 필요한 원어만 함께 적었습니다.</x:v>
      </x:c>
      <x:c r="C2" s="10" t="str">
        <x:v>기술 용어는 가능한 한 한국어로 풀어 썼고, 코드·논문 검색에 필요한 원어만 함께 적었습니다.</x:v>
      </x:c>
      <x:c r="D2" s="10" t="str">
        <x:v>기술 용어는 가능한 한 한국어로 풀어 썼고, 코드·논문 검색에 필요한 원어만 함께 적었습니다.</x:v>
      </x:c>
      <x:c r="E2" s="10" t="str">
        <x:v>기술 용어는 가능한 한 한국어로 풀어 썼고, 코드·논문 검색에 필요한 원어만 함께 적었습니다.</x:v>
      </x:c>
    </x:row>
    <x:row r="3">
      <x:c r="A3"/>
      <x:c r="B3"/>
      <x:c r="C3"/>
      <x:c r="D3"/>
      <x:c r="E3"/>
    </x:row>
    <x:row r="4" ht="32" customHeight="1">
      <x:c r="A4" s="16" t="str">
        <x:v>한국어</x:v>
      </x:c>
      <x:c r="B4" s="16" t="str">
        <x:v>원어</x:v>
      </x:c>
      <x:c r="C4" s="16" t="str">
        <x:v>뜻</x:v>
      </x:c>
      <x:c r="D4" s="16" t="str">
        <x:v>이 프로젝트 예</x:v>
      </x:c>
      <x:c r="E4" s="16" t="str">
        <x:v>언제 쓰나</x:v>
      </x:c>
    </x:row>
    <x:row r="5" ht="58" customHeight="1">
      <x:c r="A5" s="27" t="str">
        <x:v>기준방법</x:v>
      </x:c>
      <x:c r="B5" s="27" t="str">
        <x:v>Baseline</x:v>
      </x:c>
      <x:c r="C5" s="27" t="str">
        <x:v>새 방법이 실제로 나아졌는지 비교하는 기존·단순 방법</x:v>
      </x:c>
      <x:c r="D5" s="27" t="str">
        <x:v>BM25와 Hybrid를 같은 질문셋에서 비교</x:v>
      </x:c>
      <x:c r="E5" s="27" t="str">
        <x:v>모든 AI 실험</x:v>
      </x:c>
    </x:row>
    <x:row r="6" ht="58" customHeight="1">
      <x:c r="A6" s="28" t="str">
        <x:v>공동 계약</x:v>
      </x:c>
      <x:c r="B6" s="28" t="str">
        <x:v>Contract</x:v>
      </x:c>
      <x:c r="C6" s="28" t="str">
        <x:v>트랙 사이의 API·이벤트·필드 약속</x:v>
      </x:c>
      <x:c r="D6" s="28" t="str">
        <x:v>AI 응답 schema v0.1</x:v>
      </x:c>
      <x:c r="E6" s="28" t="str">
        <x:v>코딩 전</x:v>
      </x:c>
    </x:row>
    <x:row r="7" ht="58" customHeight="1">
      <x:c r="A7" s="28" t="str">
        <x:v>가짜 응답</x:v>
      </x:c>
      <x:c r="B7" s="28" t="str">
        <x:v>Mock</x:v>
      </x:c>
      <x:c r="C7" s="28" t="str">
        <x:v>아직 없는 시스템을 대신하는 계약 그대로의 시험 응답</x:v>
      </x:c>
      <x:c r="D7" s="28" t="str">
        <x:v>Mock Provider</x:v>
      </x:c>
      <x:c r="E7" s="28" t="str">
        <x:v>독립 개발</x:v>
      </x:c>
    </x:row>
    <x:row r="8" ht="58" customHeight="1">
      <x:c r="A8" s="28" t="str">
        <x:v>시험용 예시 데이터</x:v>
      </x:c>
      <x:c r="B8" s="28" t="str">
        <x:v>Fixture</x:v>
      </x:c>
      <x:c r="C8" s="28" t="str">
        <x:v>입력과 예상 결과가 고정된 작은 데이터</x:v>
      </x:c>
      <x:c r="D8" s="28" t="str">
        <x:v>중복 sale event</x:v>
      </x:c>
      <x:c r="E8" s="28" t="str">
        <x:v>단위·계약시험</x:v>
      </x:c>
    </x:row>
    <x:row r="9" ht="58" customHeight="1">
      <x:c r="A9" s="28" t="str">
        <x:v>통합 확인일</x:v>
      </x:c>
      <x:c r="B9" s="28" t="str">
        <x:v>Integration Check</x:v>
      </x:c>
      <x:c r="C9" s="28" t="str">
        <x:v>세 트랙을 연결해 계약·오류·안전을 확인하는 날</x:v>
      </x:c>
      <x:c r="D9" s="28" t="str">
        <x:v>4·8·12·16·20·21일차</x:v>
      </x:c>
      <x:c r="E9" s="28" t="str">
        <x:v>주기 종료</x:v>
      </x:c>
    </x:row>
    <x:row r="10" ht="58" customHeight="1">
      <x:c r="A10" s="28" t="str">
        <x:v>실제 운영환경</x:v>
      </x:c>
      <x:c r="B10" s="28" t="str">
        <x:v>Production</x:v>
      </x:c>
      <x:c r="C10" s="28" t="str">
        <x:v>실제 사업 데이터와 계정을 사용하는 보호 환경</x:v>
      </x:c>
      <x:c r="D10" s="28" t="str">
        <x:v>Cafe24 운영 계정</x:v>
      </x:c>
      <x:c r="E10" s="28" t="str">
        <x:v>초기 읽기 전용</x:v>
      </x:c>
    </x:row>
    <x:row r="11" ht="58" customHeight="1">
      <x:c r="A11" s="28" t="str">
        <x:v>그림자 계산</x:v>
      </x:c>
      <x:c r="B11" s="28" t="str">
        <x:v>Shadow</x:v>
      </x:c>
      <x:c r="C11" s="28" t="str">
        <x:v>실제 값을 바꾸지 않고 예상 결과만 계산</x:v>
      </x:c>
      <x:c r="D11" s="28" t="str">
        <x:v>오프라인 sale 후 예상재고</x:v>
      </x:c>
      <x:c r="E11" s="28" t="str">
        <x:v>Pilot 전</x:v>
      </x:c>
    </x:row>
    <x:row r="12" ht="58" customHeight="1">
      <x:c r="A12" s="28" t="str">
        <x:v>검색증강생성</x:v>
      </x:c>
      <x:c r="B12" s="28" t="str">
        <x:v>RAG</x:v>
      </x:c>
      <x:c r="C12" s="28" t="str">
        <x:v>관련 자료를 먼저 찾고 그 근거로 답변 생성</x:v>
      </x:c>
      <x:c r="D12" s="28" t="str">
        <x:v>상품·정책 문의</x:v>
      </x:c>
      <x:c r="E12" s="28" t="str">
        <x:v>문의초안</x:v>
      </x:c>
    </x:row>
    <x:row r="13" ht="58" customHeight="1">
      <x:c r="A13" s="28" t="str">
        <x:v>재정렬기</x:v>
      </x:c>
      <x:c r="B13" s="28" t="str">
        <x:v>Reranker</x:v>
      </x:c>
      <x:c r="C13" s="28" t="str">
        <x:v>검색 후보의 관련도를 다시 평가해 순서를 바꿈</x:v>
      </x:c>
      <x:c r="D13" s="28" t="str">
        <x:v>Hybrid top-30→top-5</x:v>
      </x:c>
      <x:c r="E13" s="28" t="str">
        <x:v>RAG 실험</x:v>
      </x:c>
    </x:row>
    <x:row r="14" ht="58" customHeight="1">
      <x:c r="A14" s="28" t="str">
        <x:v>저비용 미세조정</x:v>
      </x:c>
      <x:c r="B14" s="28" t="str">
        <x:v>QLoRA</x:v>
      </x:c>
      <x:c r="C14" s="28" t="str">
        <x:v>소형모델 전체가 아닌 일부 저랭크 파라미터를 양자화 상태에서 학습</x:v>
      </x:c>
      <x:c r="D14" s="28" t="str">
        <x:v>문의 분류 JSON</x:v>
      </x:c>
      <x:c r="E14" s="28" t="str">
        <x:v>FT-01</x:v>
      </x:c>
    </x:row>
    <x:row r="15" ht="58" customHeight="1">
      <x:c r="A15" s="28" t="str">
        <x:v>그래프 기반 검색</x:v>
      </x:c>
      <x:c r="B15" s="28" t="str">
        <x:v>GraphRAG</x:v>
      </x:c>
      <x:c r="C15" s="28" t="str">
        <x:v>개체와 관계 경로를 찾고 문서 근거를 보완</x:v>
      </x:c>
      <x:c r="D15" s="28" t="str">
        <x:v>본판→확장팩→구성품</x:v>
      </x:c>
      <x:c r="E15" s="28" t="str">
        <x:v>GRAPH-01</x:v>
      </x:c>
    </x:row>
    <x:row r="16" ht="58" customHeight="1">
      <x:c r="A16" s="28" t="str">
        <x:v>저장 지점</x:v>
      </x:c>
      <x:c r="B16" s="28" t="str">
        <x:v>Checkpoint</x:v>
      </x:c>
      <x:c r="C16" s="28" t="str">
        <x:v>에이전트나 학습을 중단 후 이어갈 수 있는 상태</x:v>
      </x:c>
      <x:c r="D16" s="28" t="str">
        <x:v>thread 상태 저장</x:v>
      </x:c>
      <x:c r="E16" s="28" t="str">
        <x:v>실패복구</x:v>
      </x:c>
    </x:row>
    <x:row r="17" ht="58" customHeight="1">
      <x:c r="A17" s="28" t="str">
        <x:v>사람 검토</x:v>
      </x:c>
      <x:c r="B17" s="28" t="str">
        <x:v>Human-in-the-loop</x:v>
      </x:c>
      <x:c r="C17" s="28" t="str">
        <x:v>낮은 신뢰도·고위험일 때 사람이 결정</x:v>
      </x:c>
      <x:c r="D17" s="28" t="str">
        <x:v>review_required</x:v>
      </x:c>
      <x:c r="E17" s="28" t="str">
        <x:v>안전</x:v>
      </x:c>
    </x:row>
    <x:row r="18" ht="58" customHeight="1">
      <x:c r="A18" s="28" t="str">
        <x:v>중복 실행 방지</x:v>
      </x:c>
      <x:c r="B18" s="28" t="str">
        <x:v>Idempotency</x:v>
      </x:c>
      <x:c r="C18" s="28" t="str">
        <x:v>같은 요청을 여러 번 실행해도 효과는 한 번만 발생</x:v>
      </x:c>
      <x:c r="D18" s="28" t="str">
        <x:v>sale 10회 재생→ledger 1회</x:v>
      </x:c>
      <x:c r="E18" s="28" t="str">
        <x:v>수집·도구</x:v>
      </x:c>
    </x:row>
    <x:row r="19" ht="58" customHeight="1">
      <x:c r="A19" s="28" t="str">
        <x:v>감사 기록</x:v>
      </x:c>
      <x:c r="B19" s="28" t="str">
        <x:v>Audit trail</x:v>
      </x:c>
      <x:c r="C19" s="28" t="str">
        <x:v>누가 무엇을 왜 시도했고 차단·성공했는지 변경 불가 기록</x:v>
      </x:c>
      <x:c r="D19" s="28" t="str">
        <x:v>deny audit</x:v>
      </x:c>
      <x:c r="E19" s="28" t="str">
        <x:v>운영안전</x:v>
      </x:c>
    </x:row>
    <x:row r="20" ht="58" customHeight="1">
      <x:c r="A20" s="28" t="str">
        <x:v>모델 선택기</x:v>
      </x:c>
      <x:c r="B20" s="28" t="str">
        <x:v>Model Router</x:v>
      </x:c>
      <x:c r="C20" s="28" t="str">
        <x:v>작업에 필요한 최소 비용 모델을 선택</x:v>
      </x:c>
      <x:c r="D20" s="28" t="str">
        <x:v>Rule→sLLM→Small→Large</x:v>
      </x:c>
      <x:c r="E20" s="28" t="str">
        <x:v>ROUTER-01</x:v>
      </x:c>
    </x:row>
    <x:row r="21" ht="58" customHeight="1">
      <x:c r="A21" s="28" t="str">
        <x:v>정답 시험세트</x:v>
      </x:c>
      <x:c r="B21" s="28" t="str">
        <x:v>Golden Set</x:v>
      </x:c>
      <x:c r="C21" s="28" t="str">
        <x:v>정답과 관련 근거가 미리 검수된 평가 데이터</x:v>
      </x:c>
      <x:c r="D21" s="28" t="str">
        <x:v>golden_retrieval</x:v>
      </x:c>
      <x:c r="E21" s="28" t="str">
        <x:v>AI 평가</x:v>
      </x:c>
    </x:row>
    <x:row r="22" ht="58" customHeight="1">
      <x:c r="A22" s="29" t="str">
        <x:v>합성 데이터</x:v>
      </x:c>
      <x:c r="B22" s="29" t="str">
        <x:v>Synthetic Data</x:v>
      </x:c>
      <x:c r="C22" s="29" t="str">
        <x:v>실제 레코드를 치환하지 않고 새로 만든 공개용 데이터</x:v>
      </x:c>
      <x:c r="D22" s="29" t="str">
        <x:v>Demo Tenant seed</x:v>
      </x:c>
      <x:c r="E22" s="29" t="str">
        <x:v>포트폴리오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52df8fbbce54b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25" hidden="0" customWidth="1"/>
    <x:col min="5" max="5" width="38" hidden="0" customWidth="1"/>
    <x:col min="6" max="6" width="34" hidden="0" customWidth="1"/>
    <x:col min="7" max="7" width="30" hidden="0" customWidth="1"/>
    <x:col min="8" max="8" width="30" hidden="0" customWidth="1"/>
  </x:cols>
  <x:sheetData>
    <x:row r="1" ht="30" customHeight="1">
      <x:c r="A1" s="72" t="str">
        <x:v>3개 트랙 도구 배정 · 사용자 주도 일일 개발 원칙</x:v>
      </x:c>
      <x:c r="B1" s="72"/>
      <x:c r="C1" s="72"/>
      <x:c r="D1" s="72"/>
      <x:c r="E1" s="72"/>
      <x:c r="F1" s="72"/>
      <x:c r="G1" s="72"/>
      <x:c r="H1" s="72"/>
    </x:row>
    <x:row r="2" ht="42" customHeight="1">
      <x:c r="A2" s="56" t="str">
        <x:v>세 트랙은 공식 Day 단위로 진행합니다. Backend·Frontend의 Codex 사용은 사용자 직접 수정과 기본시험 이후의 리뷰·시험 보강으로 제한하며, AI·ML은 Codex를 사용하지 않습니다.</x:v>
      </x:c>
      <x:c r="B2" s="56"/>
      <x:c r="C2" s="56"/>
      <x:c r="D2" s="56"/>
      <x:c r="E2" s="56"/>
      <x:c r="F2" s="56"/>
      <x:c r="G2" s="56"/>
      <x:c r="H2" s="56"/>
    </x:row>
    <x:row r="3" ht="34" customHeight="1">
      <x:c r="A3" s="73"/>
      <x:c r="B3" s="73"/>
      <x:c r="C3" s="73"/>
      <x:c r="D3" s="73"/>
      <x:c r="E3" s="73"/>
      <x:c r="F3" s="73"/>
      <x:c r="G3" s="73"/>
      <x:c r="H3" s="73"/>
    </x:row>
    <x:row r="4" ht="34" customHeight="1">
      <x:c r="A4" s="60" t="str">
        <x:v>영역</x:v>
      </x:c>
      <x:c r="B4" s="60" t="str">
        <x:v>판정 질문지</x:v>
      </x:c>
      <x:c r="C4" s="60" t="str">
        <x:v>상시 실행 도구</x:v>
      </x:c>
      <x:c r="D4" s="60" t="str">
        <x:v>Codex 직접 사용</x:v>
      </x:c>
      <x:c r="E4" s="60" t="str">
        <x:v>지금 할 일</x:v>
      </x:c>
      <x:c r="F4" s="60" t="str">
        <x:v>Codex 등록 조건</x:v>
      </x:c>
      <x:c r="G4" s="60" t="str">
        <x:v>완료 보고</x:v>
      </x:c>
      <x:c r="H4" s="60" t="str">
        <x:v>금지사항</x:v>
      </x:c>
    </x:row>
    <x:row r="5" ht="56" customHeight="1">
      <x:c r="A5" s="69" t="str">
        <x:v>AI·ML</x:v>
      </x:c>
      <x:c r="B5" s="69" t="str">
        <x:v>AI·ML 질문지</x:v>
      </x:c>
      <x:c r="C5" s="69" t="str">
        <x:v>Chat·Windows CMD·모델 API·RunPod</x:v>
      </x:c>
      <x:c r="D5" s="69" t="str">
        <x:v>사용 안 함</x:v>
      </x:c>
      <x:c r="E5" s="69" t="str">
        <x:v>현재 Day 파일·실험을 사용자가 직접 작성·검증</x:v>
      </x:c>
      <x:c r="F5" s="69" t="str">
        <x:v>해당 없음</x:v>
      </x:c>
      <x:c r="G5" s="69" t="str">
        <x:v>Metric·비용·오류분석·Artifact</x:v>
      </x:c>
      <x:c r="H5" s="69" t="str">
        <x:v>없는 파일 실행·Codex 사용·미래 Day 선행</x:v>
      </x:c>
    </x:row>
    <x:row r="6" ht="56" customHeight="1">
      <x:c r="A6" s="70" t="str">
        <x:v>백엔드·데이터</x:v>
      </x:c>
      <x:c r="B6" s="70" t="str">
        <x:v>백엔드 질문지</x:v>
      </x:c>
      <x:c r="C6" s="70" t="str">
        <x:v>VS Code·Windows CMD·서비스·DB</x:v>
      </x:c>
      <x:c r="D6" s="70" t="str">
        <x:v>사용자 작업 후 보조</x:v>
      </x:c>
      <x:c r="E6" s="70" t="str">
        <x:v>구조 확인→핵심 수정→기본시험→API 확인</x:v>
      </x:c>
      <x:c r="F6" s="70" t="str">
        <x:v>사용자 diff와 기본시험 결과</x:v>
      </x:c>
      <x:c r="G6" s="70" t="str">
        <x:v>사용자/Codex 수정·시험·API 증거 분리</x:v>
      </x:c>
      <x:c r="H6" s="70" t="str">
        <x:v>Day 전체 대리 구현·관련 없는 수정·미래 Day 선행</x:v>
      </x:c>
    </x:row>
    <x:row r="7" ht="56" customHeight="1">
      <x:c r="A7" s="71" t="str">
        <x:v>프론트엔드·제품</x:v>
      </x:c>
      <x:c r="B7" s="71" t="str">
        <x:v>프론트 질문지</x:v>
      </x:c>
      <x:c r="C7" s="71" t="str">
        <x:v>Figma AI·브라우저·Mock·Windows CMD</x:v>
      </x:c>
      <x:c r="D7" s="71" t="str">
        <x:v>사용자 작업 후 보조</x:v>
      </x:c>
      <x:c r="E7" s="71" t="str">
        <x:v>구조 확인→Component·State·CSS 수정→시험·브라우저 확인</x:v>
      </x:c>
      <x:c r="F7" s="71" t="str">
        <x:v>사용자 diff와 기본시험·수동검수</x:v>
      </x:c>
      <x:c r="G7" s="71" t="str">
        <x:v>사용자/Codex 수정·시험·빌드·스크린샷 분리</x:v>
      </x:c>
      <x:c r="H7" s="71" t="str">
        <x:v>전체 화면 재작성·범위 밖 동작 연결·미래 Day 선행</x:v>
      </x:c>
    </x:row>
    <x:row r="8" ht="56" customHeight="1">
      <x:c r="A8" s="68" t="str">
        <x:v>일정관리</x:v>
      </x:c>
      <x:c r="B8" s="68" t="str">
        <x:v>Work 일정관리 질문지</x:v>
      </x:c>
      <x:c r="C8" s="68" t="str">
        <x:v>공식 일정표</x:v>
      </x:c>
      <x:c r="D8" s="68" t="str">
        <x:v>사용 안 함</x:v>
      </x:c>
      <x:c r="E8" s="68" t="str">
        <x:v>최종 검수 보고를 현재 Day 단위로 취합</x:v>
      </x:c>
      <x:c r="F8" s="68" t="str">
        <x:v>해당 Day 세 트랙 보고</x:v>
      </x:c>
      <x:c r="G8" s="68" t="str">
        <x:v>일별 판정·차단·전달·누적 현황</x:v>
      </x:c>
      <x:c r="H8" s="68" t="str">
        <x:v>미검수 완료 인정·다음 Day 자동 시작</x:v>
      </x:c>
    </x:row>
    <x:row r="9" ht="34" customHeight="1">
      <x:c r="A9" s="73"/>
      <x:c r="B9" s="73"/>
      <x:c r="C9" s="73"/>
      <x:c r="D9" s="73"/>
      <x:c r="E9" s="73"/>
      <x:c r="F9" s="73"/>
      <x:c r="G9" s="73"/>
      <x:c r="H9" s="73"/>
    </x:row>
    <x:row r="10" ht="34" customHeight="1">
      <x:c r="A10" s="74" t="str">
        <x:v>Codex 일일 보조 범위</x:v>
      </x:c>
      <x:c r="B10" s="74"/>
      <x:c r="C10" s="74"/>
      <x:c r="D10" s="74"/>
      <x:c r="E10" s="74"/>
      <x:c r="F10" s="74"/>
      <x:c r="G10" s="74"/>
      <x:c r="H10" s="73"/>
    </x:row>
    <x:row r="11" ht="34" customHeight="1">
      <x:c r="A11" s="60" t="str">
        <x:v>단계</x:v>
      </x:c>
      <x:c r="B11" s="60" t="str">
        <x:v>적용 트랙</x:v>
      </x:c>
      <x:c r="C11" s="60" t="str">
        <x:v>실행 시점</x:v>
      </x:c>
      <x:c r="D11" s="60" t="str">
        <x:v>허용 범위</x:v>
      </x:c>
      <x:c r="E11" s="60" t="str">
        <x:v>입력 준비</x:v>
      </x:c>
      <x:c r="F11" s="60" t="str">
        <x:v>완료 증거</x:v>
      </x:c>
      <x:c r="G11" s="60" t="str">
        <x:v>금지사항</x:v>
      </x:c>
      <x:c r="H11" s="73"/>
    </x:row>
    <x:row r="12" ht="50" customHeight="1">
      <x:c r="A12" s="68" t="str">
        <x:v>1</x:v>
      </x:c>
      <x:c r="B12" s="68" t="str">
        <x:v>백엔드·프론트</x:v>
      </x:c>
      <x:c r="C12" s="68" t="str">
        <x:v>사용자 구조 확인 후</x:v>
      </x:c>
      <x:c r="D12" s="68" t="str">
        <x:v>관련 파일·연결 구조 설명</x:v>
      </x:c>
      <x:c r="E12" s="68" t="str">
        <x:v>공식 Day 작업 ID</x:v>
      </x:c>
      <x:c r="F12" s="68" t="str">
        <x:v>사용자 확인 기록</x:v>
      </x:c>
      <x:c r="G12" s="68" t="str">
        <x:v>미래 Day 선행</x:v>
      </x:c>
      <x:c r="H12" s="73"/>
    </x:row>
    <x:row r="13" ht="50" customHeight="1">
      <x:c r="A13" s="68" t="str">
        <x:v>2</x:v>
      </x:c>
      <x:c r="B13" s="68" t="str">
        <x:v>백엔드·프론트</x:v>
      </x:c>
      <x:c r="C13" s="68" t="str">
        <x:v>사용자 직접 수정 후</x:v>
      </x:c>
      <x:c r="D13" s="68" t="str">
        <x:v>변경 코드 리뷰</x:v>
      </x:c>
      <x:c r="E13" s="68" t="str">
        <x:v>사용자 diff</x:v>
      </x:c>
      <x:c r="F13" s="68" t="str">
        <x:v>리뷰 결과</x:v>
      </x:c>
      <x:c r="G13" s="68" t="str">
        <x:v>Day 전체 대리 구현</x:v>
      </x:c>
      <x:c r="H13" s="73"/>
    </x:row>
    <x:row r="14" ht="50" customHeight="1">
      <x:c r="A14" s="68" t="str">
        <x:v>3</x:v>
      </x:c>
      <x:c r="B14" s="68" t="str">
        <x:v>백엔드·프론트</x:v>
      </x:c>
      <x:c r="C14" s="68" t="str">
        <x:v>사용자 기본시험 후</x:v>
      </x:c>
      <x:c r="D14" s="68" t="str">
        <x:v>경계·예외·안전 시험 보강</x:v>
      </x:c>
      <x:c r="E14" s="68" t="str">
        <x:v>기본시험 결과</x:v>
      </x:c>
      <x:c r="F14" s="68" t="str">
        <x:v>보강시험 로그</x:v>
      </x:c>
      <x:c r="G14" s="68" t="str">
        <x:v>관련 없는 파일 수정</x:v>
      </x:c>
      <x:c r="H14" s="73"/>
    </x:row>
    <x:row r="15" ht="50" customHeight="1">
      <x:c r="A15" s="68" t="str">
        <x:v>4</x:v>
      </x:c>
      <x:c r="B15" s="68" t="str">
        <x:v>백엔드·프론트</x:v>
      </x:c>
      <x:c r="C15" s="68" t="str">
        <x:v>계약 변경 시</x:v>
      </x:c>
      <x:c r="D15" s="68" t="str">
        <x:v>Contract 차이 검사</x:v>
      </x:c>
      <x:c r="E15" s="68" t="str">
        <x:v>계약·Fixture</x:v>
      </x:c>
      <x:c r="F15" s="68" t="str">
        <x:v>breaking diff 결과</x:v>
      </x:c>
      <x:c r="G15" s="68" t="str">
        <x:v>소유권 임의 변경</x:v>
      </x:c>
      <x:c r="H15" s="73"/>
    </x:row>
    <x:row r="16" ht="50" customHeight="1">
      <x:c r="A16" s="68" t="str">
        <x:v>5</x:v>
      </x:c>
      <x:c r="B16" s="68" t="str">
        <x:v>백엔드·프론트</x:v>
      </x:c>
      <x:c r="C16" s="68" t="str">
        <x:v>일일 종료 전</x:v>
      </x:c>
      <x:c r="D16" s="68" t="str">
        <x:v>관련 범위 regression·build</x:v>
      </x:c>
      <x:c r="E16" s="68" t="str">
        <x:v>사용자 변경 범위</x:v>
      </x:c>
      <x:c r="F16" s="68" t="str">
        <x:v>회귀·빌드 결과</x:v>
      </x:c>
      <x:c r="G16" s="68" t="str">
        <x:v>사용자 확인 없는 대규모 생성</x:v>
      </x:c>
      <x:c r="H16" s="73"/>
    </x:row>
    <x:row r="17" ht="50" customHeight="1">
      <x:c r="A17" s="68" t="str">
        <x:v>6</x:v>
      </x:c>
      <x:c r="B17" s="68" t="str">
        <x:v>AI·ML</x:v>
      </x:c>
      <x:c r="C17" s="68" t="str">
        <x:v>해당 없음</x:v>
      </x:c>
      <x:c r="D17" s="68" t="str">
        <x:v>Codex 사용 안 함</x:v>
      </x:c>
      <x:c r="E17" s="68" t="str">
        <x:v>Chat·CMD·API·RunPod</x:v>
      </x:c>
      <x:c r="F17" s="68" t="str">
        <x:v>Metric·비용·오류분석</x:v>
      </x:c>
      <x:c r="G17" s="68" t="str">
        <x:v>Codex 직접 사용</x:v>
      </x:c>
      <x:c r="H17" s="73"/>
    </x:row>
    <x:row r="18" ht="34" customHeight="1">
      <x:c r="A18" s="73"/>
      <x:c r="B18" s="73"/>
      <x:c r="C18" s="73"/>
      <x:c r="D18" s="73"/>
      <x:c r="E18" s="73"/>
      <x:c r="F18" s="73"/>
      <x:c r="G18" s="73"/>
      <x:c r="H18" s="73"/>
    </x:row>
    <x:row r="19" ht="34" customHeight="1">
      <x:c r="A19" s="74" t="str">
        <x:v>현재 질문지 운영 방법</x:v>
      </x:c>
      <x:c r="B19" s="74"/>
      <x:c r="C19" s="74"/>
      <x:c r="D19" s="74"/>
      <x:c r="E19" s="74"/>
      <x:c r="F19" s="74"/>
      <x:c r="G19" s="74"/>
      <x:c r="H19" s="74"/>
    </x:row>
    <x:row r="20" ht="34" customHeight="1">
      <x:c r="A20" s="60" t="str">
        <x:v>질문지</x:v>
      </x:c>
      <x:c r="B20" s="60" t="str">
        <x:v>유지할 결과</x:v>
      </x:c>
      <x:c r="C20" s="60" t="str">
        <x:v>현재 공식 Day</x:v>
      </x:c>
      <x:c r="D20" s="60" t="str">
        <x:v>안내 순서</x:v>
      </x:c>
      <x:c r="E20" s="60" t="str">
        <x:v>사용자 직접 작업</x:v>
      </x:c>
      <x:c r="F20" s="60" t="str">
        <x:v>Codex 사용</x:v>
      </x:c>
      <x:c r="G20" s="60" t="str">
        <x:v>완료 판정</x:v>
      </x:c>
      <x:c r="H20" s="60" t="str">
        <x:v>일정관리 전달</x:v>
      </x:c>
    </x:row>
    <x:row r="21" ht="60" customHeight="1">
      <x:c r="A21" s="69" t="str">
        <x:v>AI·ML</x:v>
      </x:c>
      <x:c r="B21" s="69" t="str">
        <x:v>이전 Day 실험·Artifact</x:v>
      </x:c>
      <x:c r="C21" s="69" t="str">
        <x:v>일정표에서 확인</x:v>
      </x:c>
      <x:c r="D21" s="69" t="str">
        <x:v>파일 존재→작성·수정→의존성→실행</x:v>
      </x:c>
      <x:c r="E21" s="69" t="str">
        <x:v>Prompt·데이터·실험·CMD</x:v>
      </x:c>
      <x:c r="F21" s="69" t="str">
        <x:v>없음</x:v>
      </x:c>
      <x:c r="G21" s="69" t="str">
        <x:v>Metric·비용·오류분석 포함</x:v>
      </x:c>
      <x:c r="H21" s="69" t="str">
        <x:v>해당 Day 완료 시 1회</x:v>
      </x:c>
    </x:row>
    <x:row r="22" ht="60" customHeight="1">
      <x:c r="A22" s="70" t="str">
        <x:v>백엔드</x:v>
      </x:c>
      <x:c r="B22" s="70" t="str">
        <x:v>기존 구현·DB·계약·시험</x:v>
      </x:c>
      <x:c r="C22" s="70" t="str">
        <x:v>일정표에서 확인</x:v>
      </x:c>
      <x:c r="D22" s="70" t="str">
        <x:v>구조→파일 순서→핵심 수정→기본시험→Codex</x:v>
      </x:c>
      <x:c r="E22" s="70" t="str">
        <x:v>핵심 코드·기본시험·API 확인</x:v>
      </x:c>
      <x:c r="F22" s="70" t="str">
        <x:v>리뷰·경계·회귀</x:v>
      </x:c>
      <x:c r="G22" s="70" t="str">
        <x:v>사용자/Codex 결과 분리</x:v>
      </x:c>
      <x:c r="H22" s="70" t="str">
        <x:v>해당 Day 완료 시 1회</x:v>
      </x:c>
    </x:row>
    <x:row r="23" ht="60" customHeight="1">
      <x:c r="A23" s="71" t="str">
        <x:v>프론트</x:v>
      </x:c>
      <x:c r="B23" s="71" t="str">
        <x:v>Figma handoff·기존 Route·Mock</x:v>
      </x:c>
      <x:c r="C23" s="71" t="str">
        <x:v>일정표에서 확인</x:v>
      </x:c>
      <x:c r="D23" s="71" t="str">
        <x:v>구조→파일 순서→Component·State·CSS→시험→브라우저→Codex</x:v>
      </x:c>
      <x:c r="E23" s="71" t="str">
        <x:v>핵심 UI·기본시험·수동검수</x:v>
      </x:c>
      <x:c r="F23" s="71" t="str">
        <x:v>접근성·계약·build</x:v>
      </x:c>
      <x:c r="G23" s="71" t="str">
        <x:v>사용자/Codex 결과 분리</x:v>
      </x:c>
      <x:c r="H23" s="71" t="str">
        <x:v>해당 Day 완료 시 1회</x:v>
      </x:c>
    </x:row>
  </x:sheetData>
  <x:mergeCells>
    <x:mergeCell ref="A1:H1"/>
    <x:mergeCell ref="A2:H2"/>
    <x:mergeCell ref="A10:G10"/>
    <x:mergeCell ref="A19:H19"/>
  </x:mergeCells>
  <x:pageMargins left="0.7" right="0.7" top="0.75" bottom="0.75" header="0.3" footer="0.3"/>
</x:worksheet>
</file>